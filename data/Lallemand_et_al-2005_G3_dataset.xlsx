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260" yWindow="140" windowWidth="25600" windowHeight="16060" tabRatio="500"/>
  </bookViews>
  <sheets>
    <sheet name="ggge670-sup-0001tab01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11" i="1" l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10" i="1"/>
  <c r="Z89" i="1"/>
  <c r="Z90" i="1"/>
  <c r="Z91" i="1"/>
  <c r="Z92" i="1"/>
  <c r="Z93" i="1"/>
  <c r="Z94" i="1"/>
  <c r="Z84" i="1"/>
  <c r="Z85" i="1"/>
  <c r="Z86" i="1"/>
  <c r="Z87" i="1"/>
  <c r="Z88" i="1"/>
  <c r="Z73" i="1"/>
  <c r="Z74" i="1"/>
  <c r="Z75" i="1"/>
  <c r="Z76" i="1"/>
  <c r="Z77" i="1"/>
  <c r="Z78" i="1"/>
  <c r="Z79" i="1"/>
  <c r="Z80" i="1"/>
  <c r="Z81" i="1"/>
  <c r="Z82" i="1"/>
  <c r="Z83" i="1"/>
  <c r="Z72" i="1"/>
</calcChain>
</file>

<file path=xl/sharedStrings.xml><?xml version="1.0" encoding="utf-8"?>
<sst xmlns="http://schemas.openxmlformats.org/spreadsheetml/2006/main" count="894" uniqueCount="211">
  <si>
    <t>Name</t>
  </si>
  <si>
    <t>Lat., degreesN</t>
  </si>
  <si>
    <t>Lon., degreesE</t>
  </si>
  <si>
    <t>Az, degrees</t>
  </si>
  <si>
    <t>as, degrees</t>
  </si>
  <si>
    <t>ad, degrees</t>
  </si>
  <si>
    <t>Dmax, km</t>
  </si>
  <si>
    <t>L, km</t>
  </si>
  <si>
    <t>Vcn</t>
  </si>
  <si>
    <t xml:space="preserve"> Vcmpn</t>
  </si>
  <si>
    <t>Vupn</t>
  </si>
  <si>
    <t>Vtn, mm.a-1</t>
  </si>
  <si>
    <t>Vsubn</t>
  </si>
  <si>
    <t>Vzn</t>
  </si>
  <si>
    <t>A, Ma</t>
  </si>
  <si>
    <t>f, km</t>
  </si>
  <si>
    <t>Fsp, 1012 N.m-1</t>
  </si>
  <si>
    <t>UPN</t>
  </si>
  <si>
    <t>Slab Edge</t>
  </si>
  <si>
    <t>ANDA6</t>
  </si>
  <si>
    <t>c</t>
  </si>
  <si>
    <t>ANDA5</t>
  </si>
  <si>
    <t>ANDA4</t>
  </si>
  <si>
    <t>ANDA3</t>
  </si>
  <si>
    <t>ANDA2</t>
  </si>
  <si>
    <t>ANDA1</t>
  </si>
  <si>
    <t>SUM6</t>
  </si>
  <si>
    <t>SUM5</t>
  </si>
  <si>
    <t>SUM4</t>
  </si>
  <si>
    <t>SUM3</t>
  </si>
  <si>
    <t>SUM2</t>
  </si>
  <si>
    <t>SUM1</t>
  </si>
  <si>
    <t>JAVA7</t>
  </si>
  <si>
    <t>JAVA6</t>
  </si>
  <si>
    <t>JAVA5</t>
  </si>
  <si>
    <t>JAVA4</t>
  </si>
  <si>
    <t>JAVA3</t>
  </si>
  <si>
    <t>JAVA2</t>
  </si>
  <si>
    <t>JAVA1</t>
  </si>
  <si>
    <t>SULA2</t>
  </si>
  <si>
    <t>-</t>
  </si>
  <si>
    <t>SULA1</t>
  </si>
  <si>
    <t>NEG</t>
  </si>
  <si>
    <t>LUZ4</t>
  </si>
  <si>
    <t>o</t>
  </si>
  <si>
    <t>LUZ3</t>
  </si>
  <si>
    <t>LUZ2</t>
  </si>
  <si>
    <t>LUZ1</t>
  </si>
  <si>
    <t>BAT</t>
  </si>
  <si>
    <t>PHIL6</t>
  </si>
  <si>
    <t>PHIL5</t>
  </si>
  <si>
    <t>PHIL4</t>
  </si>
  <si>
    <t>PHIL3</t>
  </si>
  <si>
    <t>PHIL2</t>
  </si>
  <si>
    <t>PHIL1</t>
  </si>
  <si>
    <t>RYU1</t>
  </si>
  <si>
    <t>RYU2</t>
  </si>
  <si>
    <t>RYU3</t>
  </si>
  <si>
    <t>RYU4</t>
  </si>
  <si>
    <t>RYU5</t>
  </si>
  <si>
    <t>NAN3</t>
  </si>
  <si>
    <t>NAN2</t>
  </si>
  <si>
    <t>NAN1</t>
  </si>
  <si>
    <t>YAP</t>
  </si>
  <si>
    <t>SMAR5</t>
  </si>
  <si>
    <t>SMAR4</t>
  </si>
  <si>
    <t>SMAR3</t>
  </si>
  <si>
    <t>SMAR2</t>
  </si>
  <si>
    <t>SMAR1</t>
  </si>
  <si>
    <t>NMAR4</t>
  </si>
  <si>
    <t>NMAR3</t>
  </si>
  <si>
    <t>NMAR2</t>
  </si>
  <si>
    <t>NMAR1</t>
  </si>
  <si>
    <t>IZU4</t>
  </si>
  <si>
    <t>IZU3</t>
  </si>
  <si>
    <t>IZU2</t>
  </si>
  <si>
    <t>IZU1</t>
  </si>
  <si>
    <t>JAP4</t>
  </si>
  <si>
    <t>JAP3</t>
  </si>
  <si>
    <t>JAP2</t>
  </si>
  <si>
    <t>JAP1</t>
  </si>
  <si>
    <t>SKOUR5</t>
  </si>
  <si>
    <t>SKOUR4</t>
  </si>
  <si>
    <t>SKOUR3</t>
  </si>
  <si>
    <t>SKOUR2</t>
  </si>
  <si>
    <t>SKOUR1</t>
  </si>
  <si>
    <t>NKOUR3</t>
  </si>
  <si>
    <t>NKOUR2</t>
  </si>
  <si>
    <t>NKOUR1</t>
  </si>
  <si>
    <t>KAM2</t>
  </si>
  <si>
    <t>KAM1</t>
  </si>
  <si>
    <t>W_ALE1</t>
  </si>
  <si>
    <t>W_ALE2</t>
  </si>
  <si>
    <t>C_ALE1</t>
  </si>
  <si>
    <t>C_ALE2</t>
  </si>
  <si>
    <t>C_ALE3</t>
  </si>
  <si>
    <t>C_ALE4</t>
  </si>
  <si>
    <t>C_ALE5</t>
  </si>
  <si>
    <t>C_ALE6</t>
  </si>
  <si>
    <t>E_ALE1</t>
  </si>
  <si>
    <t>E_ALE2</t>
  </si>
  <si>
    <t>E_ALE3</t>
  </si>
  <si>
    <t>E_ALE4</t>
  </si>
  <si>
    <t>E_ALE5</t>
  </si>
  <si>
    <t>W_ALA1</t>
  </si>
  <si>
    <t>W_ALA2</t>
  </si>
  <si>
    <t>W_ALA3</t>
  </si>
  <si>
    <t>W_ALA4</t>
  </si>
  <si>
    <t>W_ALA5</t>
  </si>
  <si>
    <t>E_ALA1</t>
  </si>
  <si>
    <t>E_ALA2</t>
  </si>
  <si>
    <t>E_ALA3</t>
  </si>
  <si>
    <t>E_ALA4</t>
  </si>
  <si>
    <t>E_ALA5</t>
  </si>
  <si>
    <t>CASC1</t>
  </si>
  <si>
    <t>CASC2</t>
  </si>
  <si>
    <t>CASC3</t>
  </si>
  <si>
    <t>CASC4</t>
  </si>
  <si>
    <t>MEX1</t>
  </si>
  <si>
    <t>MEX2</t>
  </si>
  <si>
    <t>MEX3</t>
  </si>
  <si>
    <t>MEX4</t>
  </si>
  <si>
    <t>MEX5</t>
  </si>
  <si>
    <t>MEX6</t>
  </si>
  <si>
    <t>COST1</t>
  </si>
  <si>
    <t>COST2</t>
  </si>
  <si>
    <t>COST3</t>
  </si>
  <si>
    <t>COST4</t>
  </si>
  <si>
    <t>COST5</t>
  </si>
  <si>
    <t>COL1</t>
  </si>
  <si>
    <t>COL2</t>
  </si>
  <si>
    <t>COL3</t>
  </si>
  <si>
    <t>PER1</t>
  </si>
  <si>
    <t>PER2</t>
  </si>
  <si>
    <t>PER3</t>
  </si>
  <si>
    <t>PER4</t>
  </si>
  <si>
    <t>PER5</t>
  </si>
  <si>
    <t>PER6</t>
  </si>
  <si>
    <t>NCHI1</t>
  </si>
  <si>
    <t>NCHI2</t>
  </si>
  <si>
    <t>NCHI3</t>
  </si>
  <si>
    <t>NCHI4</t>
  </si>
  <si>
    <t>NCHI5</t>
  </si>
  <si>
    <t>NCHI6</t>
  </si>
  <si>
    <t>JUAN1</t>
  </si>
  <si>
    <t>JUAN2</t>
  </si>
  <si>
    <t>SCHI1</t>
  </si>
  <si>
    <t>SCHI2</t>
  </si>
  <si>
    <t>SCHI3</t>
  </si>
  <si>
    <t>SCHI4</t>
  </si>
  <si>
    <t>SCHI5</t>
  </si>
  <si>
    <t>BARB1</t>
  </si>
  <si>
    <t>p</t>
  </si>
  <si>
    <t>BARB2</t>
  </si>
  <si>
    <t>ANTI1</t>
  </si>
  <si>
    <t>ANTI2</t>
  </si>
  <si>
    <t>ANTI3</t>
  </si>
  <si>
    <t>PORTO1</t>
  </si>
  <si>
    <t>PORTO2</t>
  </si>
  <si>
    <t>PORTO3</t>
  </si>
  <si>
    <t>SAND1</t>
  </si>
  <si>
    <t>SAND2</t>
  </si>
  <si>
    <t>SAND3</t>
  </si>
  <si>
    <t>SAND4</t>
  </si>
  <si>
    <t>SAND5</t>
  </si>
  <si>
    <t>PUY</t>
  </si>
  <si>
    <t>KER1</t>
  </si>
  <si>
    <t>KER2</t>
  </si>
  <si>
    <t>KER3</t>
  </si>
  <si>
    <t>KER4</t>
  </si>
  <si>
    <t>KER5</t>
  </si>
  <si>
    <t>TONG1</t>
  </si>
  <si>
    <t>TONG2</t>
  </si>
  <si>
    <t>TONG3</t>
  </si>
  <si>
    <t>TONG4</t>
  </si>
  <si>
    <t>SHEB1</t>
  </si>
  <si>
    <t>SHEB2</t>
  </si>
  <si>
    <t>NHEB1</t>
  </si>
  <si>
    <t>NHEB2</t>
  </si>
  <si>
    <t>BRET3</t>
  </si>
  <si>
    <t>BRET2</t>
  </si>
  <si>
    <t>BRET1</t>
  </si>
  <si>
    <t>Vupn (heuret)</t>
  </si>
  <si>
    <t>Vtn (heuret)</t>
  </si>
  <si>
    <t>Chile triple junction (TRI)</t>
  </si>
  <si>
    <t>Patagonia (PAT)</t>
  </si>
  <si>
    <t>Cascadia (CASC)</t>
  </si>
  <si>
    <t>Sandwich (SAND)</t>
  </si>
  <si>
    <t>Tonga</t>
  </si>
  <si>
    <t>Vdn (heuret)</t>
  </si>
  <si>
    <t>BOUG1</t>
  </si>
  <si>
    <t>BOUG2</t>
  </si>
  <si>
    <t>ENTR</t>
  </si>
  <si>
    <t>COL4</t>
  </si>
  <si>
    <t>COL5</t>
  </si>
  <si>
    <t>PER7</t>
  </si>
  <si>
    <t>HIKS1</t>
  </si>
  <si>
    <t>HIKS2</t>
  </si>
  <si>
    <t>HIKS3</t>
  </si>
  <si>
    <t>HIKN</t>
  </si>
  <si>
    <t>TONG6</t>
  </si>
  <si>
    <t>Azimuth, deg</t>
  </si>
  <si>
    <t>Rmin, km</t>
  </si>
  <si>
    <t>LSP, km</t>
  </si>
  <si>
    <t>(unsure)</t>
  </si>
  <si>
    <t>yes = 1, no = 0</t>
  </si>
  <si>
    <t>Trench width</t>
  </si>
  <si>
    <t>debatable</t>
  </si>
  <si>
    <t>added  by me</t>
  </si>
  <si>
    <t>LSP, simplified</t>
  </si>
  <si>
    <t>plate interactions?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</si>
</sst>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scheme val="minor"/>
    </font>
    <font>
      <sz val="12"/>
      <color rgb="FF0000FF"/>
      <name val="Calibri"/>
      <scheme val="minor"/>
    </font>
    <font>
      <sz val="12"/>
      <color theme="6" tint="-0.249977111117893"/>
      <name val="Calibri"/>
      <scheme val="minor"/>
    </font>
    <font>
      <sz val="12"/>
      <color rgb="FF000000"/>
      <name val="Calibri"/>
      <family val="2"/>
      <scheme val="minor"/>
    </font>
    <font>
      <sz val="12"/>
      <color theme="9" tint="-0.249977111117893"/>
      <name val="Calibri"/>
      <scheme val="minor"/>
    </font>
    <font>
      <sz val="12"/>
      <name val="Calibri"/>
      <scheme val="minor"/>
    </font>
    <font>
      <sz val="12"/>
      <color rgb="FF66006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1" fillId="2" borderId="0" xfId="0" applyFont="1" applyFill="1"/>
    <xf numFmtId="0" fontId="1" fillId="0" borderId="0" xfId="0" quotePrefix="1" applyFont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0" borderId="0" xfId="0" applyFont="1"/>
    <xf numFmtId="0" fontId="0" fillId="3" borderId="0" xfId="0" applyFill="1"/>
    <xf numFmtId="0" fontId="8" fillId="0" borderId="0" xfId="0" applyFont="1"/>
    <xf numFmtId="0" fontId="9" fillId="0" borderId="0" xfId="0" applyFont="1"/>
    <xf numFmtId="0" fontId="10" fillId="4" borderId="0" xfId="0" applyFont="1" applyFill="1"/>
    <xf numFmtId="0" fontId="10" fillId="5" borderId="0" xfId="0" applyFont="1" applyFill="1"/>
  </cellXfs>
  <cellStyles count="1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8"/>
  <sheetViews>
    <sheetView tabSelected="1" topLeftCell="T1" workbookViewId="0">
      <selection activeCell="AC1" sqref="AC1:AE1048576"/>
    </sheetView>
  </sheetViews>
  <sheetFormatPr baseColWidth="10" defaultRowHeight="15" x14ac:dyDescent="0"/>
  <cols>
    <col min="1" max="1" width="19.83203125" customWidth="1"/>
    <col min="2" max="3" width="10.83203125" customWidth="1"/>
    <col min="4" max="4" width="10.83203125" style="7" customWidth="1"/>
    <col min="5" max="12" width="10.83203125" customWidth="1"/>
    <col min="13" max="13" width="12.5" style="6" customWidth="1"/>
    <col min="14" max="14" width="10.83203125" style="6" customWidth="1"/>
    <col min="15" max="15" width="13.5" customWidth="1"/>
    <col min="16" max="17" width="10.83203125" customWidth="1"/>
    <col min="18" max="18" width="10.83203125" style="1" customWidth="1"/>
    <col min="19" max="24" width="10.83203125" customWidth="1"/>
    <col min="25" max="25" width="17.5" customWidth="1"/>
    <col min="26" max="26" width="13.1640625" customWidth="1"/>
    <col min="28" max="28" width="17.5" customWidth="1"/>
  </cols>
  <sheetData>
    <row r="1" spans="1:28">
      <c r="A1">
        <v>0</v>
      </c>
      <c r="B1">
        <v>1</v>
      </c>
      <c r="C1">
        <v>2</v>
      </c>
      <c r="D1" s="9" t="s">
        <v>204</v>
      </c>
      <c r="E1">
        <v>4</v>
      </c>
      <c r="F1">
        <v>5</v>
      </c>
      <c r="G1" s="15" t="s">
        <v>208</v>
      </c>
      <c r="H1" s="12" t="s">
        <v>207</v>
      </c>
      <c r="I1">
        <v>8</v>
      </c>
      <c r="J1">
        <v>9</v>
      </c>
      <c r="K1">
        <v>10</v>
      </c>
      <c r="L1">
        <v>11</v>
      </c>
      <c r="M1" s="6">
        <v>12</v>
      </c>
      <c r="N1" s="6">
        <v>13</v>
      </c>
      <c r="O1">
        <v>14</v>
      </c>
      <c r="P1">
        <v>15</v>
      </c>
      <c r="Q1">
        <v>16</v>
      </c>
      <c r="R1" s="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 t="s">
        <v>205</v>
      </c>
      <c r="Z1">
        <v>25</v>
      </c>
      <c r="AA1">
        <v>26</v>
      </c>
      <c r="AB1">
        <v>27</v>
      </c>
    </row>
    <row r="2" spans="1:28">
      <c r="A2" t="s">
        <v>0</v>
      </c>
      <c r="B2" t="s">
        <v>1</v>
      </c>
      <c r="C2" t="s">
        <v>2</v>
      </c>
      <c r="D2" s="7" t="s">
        <v>203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6" t="s">
        <v>201</v>
      </c>
      <c r="N2" s="6" t="s">
        <v>202</v>
      </c>
      <c r="O2" s="1" t="s">
        <v>182</v>
      </c>
      <c r="P2" t="s">
        <v>11</v>
      </c>
      <c r="Q2" s="1" t="s">
        <v>183</v>
      </c>
      <c r="R2" s="1" t="s">
        <v>189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206</v>
      </c>
      <c r="AA2" t="s">
        <v>209</v>
      </c>
      <c r="AB2" t="s">
        <v>210</v>
      </c>
    </row>
    <row r="3" spans="1:28">
      <c r="A3" t="s">
        <v>19</v>
      </c>
      <c r="B3">
        <v>14</v>
      </c>
      <c r="C3">
        <v>92.1</v>
      </c>
      <c r="D3" s="7">
        <v>2900</v>
      </c>
      <c r="E3">
        <v>112</v>
      </c>
      <c r="F3">
        <v>50</v>
      </c>
      <c r="G3">
        <v>70</v>
      </c>
      <c r="H3">
        <v>600</v>
      </c>
      <c r="I3">
        <v>669</v>
      </c>
      <c r="J3">
        <v>4</v>
      </c>
      <c r="K3">
        <v>-20</v>
      </c>
      <c r="L3">
        <v>-20</v>
      </c>
      <c r="M3" s="6" t="s">
        <v>40</v>
      </c>
      <c r="N3" s="6" t="s">
        <v>40</v>
      </c>
      <c r="O3" s="1">
        <v>-19.899999999999999</v>
      </c>
      <c r="P3">
        <v>24</v>
      </c>
      <c r="Q3" s="1">
        <v>24.4</v>
      </c>
      <c r="R3" s="1">
        <v>-23.5</v>
      </c>
      <c r="S3">
        <v>-22</v>
      </c>
      <c r="T3">
        <v>3</v>
      </c>
      <c r="U3">
        <v>86</v>
      </c>
      <c r="V3">
        <v>269</v>
      </c>
      <c r="W3">
        <v>20</v>
      </c>
      <c r="X3" t="s">
        <v>20</v>
      </c>
      <c r="Y3">
        <v>1</v>
      </c>
      <c r="Z3">
        <v>2000</v>
      </c>
      <c r="AA3">
        <v>4000</v>
      </c>
      <c r="AB3">
        <v>0</v>
      </c>
    </row>
    <row r="4" spans="1:28">
      <c r="A4" t="s">
        <v>21</v>
      </c>
      <c r="B4">
        <v>12</v>
      </c>
      <c r="C4">
        <v>91.6</v>
      </c>
      <c r="D4" s="7">
        <v>2900</v>
      </c>
      <c r="E4">
        <v>101</v>
      </c>
      <c r="F4">
        <v>40</v>
      </c>
      <c r="G4">
        <v>70</v>
      </c>
      <c r="H4">
        <v>600</v>
      </c>
      <c r="I4">
        <v>700</v>
      </c>
      <c r="J4">
        <v>7</v>
      </c>
      <c r="K4">
        <v>-13</v>
      </c>
      <c r="L4">
        <v>-1</v>
      </c>
      <c r="M4" s="6" t="s">
        <v>40</v>
      </c>
      <c r="N4" s="6" t="s">
        <v>40</v>
      </c>
      <c r="O4" s="1">
        <v>-1</v>
      </c>
      <c r="P4">
        <v>24</v>
      </c>
      <c r="Q4" s="1">
        <v>23.5</v>
      </c>
      <c r="R4" s="1">
        <v>-19.7</v>
      </c>
      <c r="S4">
        <v>-12</v>
      </c>
      <c r="T4">
        <v>6</v>
      </c>
      <c r="U4">
        <v>82</v>
      </c>
      <c r="V4">
        <v>478</v>
      </c>
      <c r="W4">
        <v>21</v>
      </c>
      <c r="X4" t="s">
        <v>20</v>
      </c>
      <c r="Y4">
        <v>1</v>
      </c>
      <c r="Z4">
        <v>2000</v>
      </c>
      <c r="AA4">
        <v>4000</v>
      </c>
      <c r="AB4">
        <v>0</v>
      </c>
    </row>
    <row r="5" spans="1:28">
      <c r="A5" t="s">
        <v>22</v>
      </c>
      <c r="B5">
        <v>10</v>
      </c>
      <c r="C5">
        <v>91.4</v>
      </c>
      <c r="D5" s="7">
        <v>2900</v>
      </c>
      <c r="E5">
        <v>97</v>
      </c>
      <c r="F5">
        <v>37</v>
      </c>
      <c r="G5">
        <v>70</v>
      </c>
      <c r="H5">
        <v>600</v>
      </c>
      <c r="I5">
        <v>713</v>
      </c>
      <c r="J5">
        <v>9</v>
      </c>
      <c r="K5">
        <v>-10</v>
      </c>
      <c r="L5">
        <v>-2</v>
      </c>
      <c r="M5" s="6" t="s">
        <v>40</v>
      </c>
      <c r="N5" s="6" t="s">
        <v>40</v>
      </c>
      <c r="O5" s="1">
        <v>-2.1</v>
      </c>
      <c r="P5">
        <v>15</v>
      </c>
      <c r="Q5" s="1">
        <v>15.3</v>
      </c>
      <c r="R5" s="1">
        <v>-18.8</v>
      </c>
      <c r="S5">
        <v>-7</v>
      </c>
      <c r="T5">
        <v>8</v>
      </c>
      <c r="U5">
        <v>78</v>
      </c>
      <c r="V5">
        <v>602</v>
      </c>
      <c r="W5">
        <v>21</v>
      </c>
      <c r="X5" t="s">
        <v>20</v>
      </c>
      <c r="Y5">
        <v>0</v>
      </c>
      <c r="Z5">
        <v>2000</v>
      </c>
      <c r="AA5">
        <v>4000</v>
      </c>
      <c r="AB5">
        <v>0</v>
      </c>
    </row>
    <row r="6" spans="1:28">
      <c r="A6" t="s">
        <v>23</v>
      </c>
      <c r="B6">
        <v>8</v>
      </c>
      <c r="C6">
        <v>91.7</v>
      </c>
      <c r="D6" s="7">
        <v>2900</v>
      </c>
      <c r="E6">
        <v>77</v>
      </c>
      <c r="F6">
        <v>34</v>
      </c>
      <c r="G6">
        <v>70</v>
      </c>
      <c r="H6">
        <v>600</v>
      </c>
      <c r="I6">
        <v>729</v>
      </c>
      <c r="J6">
        <v>18</v>
      </c>
      <c r="K6">
        <v>3</v>
      </c>
      <c r="L6">
        <v>-9</v>
      </c>
      <c r="M6" s="6" t="s">
        <v>40</v>
      </c>
      <c r="N6" s="6" t="s">
        <v>40</v>
      </c>
      <c r="O6" s="1">
        <v>-8.5</v>
      </c>
      <c r="P6">
        <v>2</v>
      </c>
      <c r="Q6" s="1">
        <v>1.6</v>
      </c>
      <c r="R6" s="1">
        <v>-15.1</v>
      </c>
      <c r="S6">
        <v>13</v>
      </c>
      <c r="T6">
        <v>15</v>
      </c>
      <c r="U6">
        <v>74</v>
      </c>
      <c r="V6">
        <v>1092</v>
      </c>
      <c r="W6">
        <v>21</v>
      </c>
      <c r="X6" t="s">
        <v>20</v>
      </c>
      <c r="Y6">
        <v>0</v>
      </c>
      <c r="Z6">
        <v>2000</v>
      </c>
      <c r="AA6">
        <v>4000</v>
      </c>
      <c r="AB6">
        <v>0</v>
      </c>
    </row>
    <row r="7" spans="1:28">
      <c r="A7" t="s">
        <v>24</v>
      </c>
      <c r="B7">
        <v>6</v>
      </c>
      <c r="C7">
        <v>92.6</v>
      </c>
      <c r="D7" s="7">
        <v>2900</v>
      </c>
      <c r="E7">
        <v>70</v>
      </c>
      <c r="F7">
        <v>33</v>
      </c>
      <c r="G7">
        <v>70</v>
      </c>
      <c r="H7">
        <v>600</v>
      </c>
      <c r="I7">
        <v>735</v>
      </c>
      <c r="J7">
        <v>18</v>
      </c>
      <c r="K7">
        <v>5</v>
      </c>
      <c r="L7">
        <v>-8</v>
      </c>
      <c r="M7" s="6" t="s">
        <v>40</v>
      </c>
      <c r="N7" s="6" t="s">
        <v>40</v>
      </c>
      <c r="O7" s="1">
        <v>-8.1</v>
      </c>
      <c r="P7">
        <v>4</v>
      </c>
      <c r="Q7" s="1">
        <v>3.9</v>
      </c>
      <c r="R7" s="1">
        <v>-13.3</v>
      </c>
      <c r="S7">
        <v>19</v>
      </c>
      <c r="T7">
        <v>15</v>
      </c>
      <c r="U7">
        <v>69</v>
      </c>
      <c r="V7">
        <v>1006</v>
      </c>
      <c r="W7">
        <v>20</v>
      </c>
      <c r="X7" t="s">
        <v>20</v>
      </c>
      <c r="Y7">
        <v>0</v>
      </c>
      <c r="Z7">
        <v>2000</v>
      </c>
      <c r="AA7">
        <v>4000</v>
      </c>
      <c r="AB7">
        <v>0</v>
      </c>
    </row>
    <row r="8" spans="1:28">
      <c r="A8" t="s">
        <v>25</v>
      </c>
      <c r="B8">
        <v>4</v>
      </c>
      <c r="C8">
        <v>93</v>
      </c>
      <c r="D8" s="7">
        <v>2900</v>
      </c>
      <c r="E8">
        <v>61</v>
      </c>
      <c r="F8">
        <v>33</v>
      </c>
      <c r="G8">
        <v>56</v>
      </c>
      <c r="H8">
        <v>600</v>
      </c>
      <c r="I8">
        <v>802</v>
      </c>
      <c r="J8">
        <v>20</v>
      </c>
      <c r="K8">
        <v>15</v>
      </c>
      <c r="L8">
        <v>-13</v>
      </c>
      <c r="M8" s="6" t="s">
        <v>40</v>
      </c>
      <c r="N8" s="6" t="s">
        <v>40</v>
      </c>
      <c r="O8" s="1">
        <v>-12.6</v>
      </c>
      <c r="P8">
        <v>-7</v>
      </c>
      <c r="Q8" s="1">
        <v>-7</v>
      </c>
      <c r="R8" s="1">
        <v>-4.8</v>
      </c>
      <c r="S8">
        <v>27</v>
      </c>
      <c r="T8">
        <v>15</v>
      </c>
      <c r="U8">
        <v>61</v>
      </c>
      <c r="V8">
        <v>905</v>
      </c>
      <c r="W8">
        <v>21</v>
      </c>
      <c r="X8" t="s">
        <v>20</v>
      </c>
      <c r="Y8">
        <v>0</v>
      </c>
      <c r="Z8">
        <v>2000</v>
      </c>
      <c r="AA8">
        <v>4000</v>
      </c>
      <c r="AB8">
        <v>0</v>
      </c>
    </row>
    <row r="9" spans="1:28">
      <c r="A9" t="s">
        <v>26</v>
      </c>
      <c r="B9">
        <v>2</v>
      </c>
      <c r="C9">
        <v>95</v>
      </c>
      <c r="D9" s="7">
        <v>3900</v>
      </c>
      <c r="E9">
        <v>25</v>
      </c>
      <c r="F9">
        <v>29</v>
      </c>
      <c r="G9">
        <v>40</v>
      </c>
      <c r="H9">
        <v>1200</v>
      </c>
      <c r="I9">
        <v>1106</v>
      </c>
      <c r="J9">
        <v>41</v>
      </c>
      <c r="K9">
        <v>41</v>
      </c>
      <c r="L9">
        <v>-18</v>
      </c>
      <c r="M9" s="6">
        <v>25</v>
      </c>
      <c r="N9" s="6">
        <v>318</v>
      </c>
      <c r="O9" s="1">
        <v>-18.399999999999999</v>
      </c>
      <c r="P9">
        <v>-18</v>
      </c>
      <c r="Q9" s="1">
        <v>-18.399999999999999</v>
      </c>
      <c r="R9" s="2" t="s">
        <v>40</v>
      </c>
      <c r="S9">
        <v>57</v>
      </c>
      <c r="T9">
        <v>25</v>
      </c>
      <c r="U9">
        <v>52</v>
      </c>
      <c r="V9">
        <v>1290</v>
      </c>
      <c r="W9">
        <v>26</v>
      </c>
      <c r="X9" t="s">
        <v>20</v>
      </c>
      <c r="Y9">
        <v>0</v>
      </c>
      <c r="Z9">
        <v>4750</v>
      </c>
      <c r="AA9">
        <v>4000</v>
      </c>
      <c r="AB9">
        <v>0</v>
      </c>
    </row>
    <row r="10" spans="1:28">
      <c r="A10" t="s">
        <v>27</v>
      </c>
      <c r="B10">
        <v>0</v>
      </c>
      <c r="C10">
        <v>97</v>
      </c>
      <c r="D10" s="7">
        <v>3900</v>
      </c>
      <c r="E10">
        <v>56</v>
      </c>
      <c r="F10">
        <v>28</v>
      </c>
      <c r="G10">
        <v>40</v>
      </c>
      <c r="H10">
        <v>1200</v>
      </c>
      <c r="I10">
        <v>1114</v>
      </c>
      <c r="J10">
        <v>28</v>
      </c>
      <c r="K10">
        <v>28</v>
      </c>
      <c r="L10">
        <v>-13</v>
      </c>
      <c r="M10" s="6">
        <v>56</v>
      </c>
      <c r="N10" s="6">
        <v>398</v>
      </c>
      <c r="O10" s="1">
        <v>-12.7</v>
      </c>
      <c r="P10">
        <v>-13</v>
      </c>
      <c r="Q10" s="1">
        <v>-12.7</v>
      </c>
      <c r="R10" s="2" t="s">
        <v>40</v>
      </c>
      <c r="S10">
        <v>38</v>
      </c>
      <c r="T10">
        <v>17</v>
      </c>
      <c r="U10">
        <v>46</v>
      </c>
      <c r="V10">
        <v>786</v>
      </c>
      <c r="W10">
        <v>25</v>
      </c>
      <c r="X10" t="s">
        <v>20</v>
      </c>
      <c r="Y10">
        <v>0</v>
      </c>
      <c r="Z10">
        <v>4750</v>
      </c>
      <c r="AA10">
        <v>4000</v>
      </c>
      <c r="AB10">
        <v>0</v>
      </c>
    </row>
    <row r="11" spans="1:28">
      <c r="A11" t="s">
        <v>28</v>
      </c>
      <c r="B11">
        <v>-2</v>
      </c>
      <c r="C11">
        <v>98.1</v>
      </c>
      <c r="D11" s="7">
        <v>3900</v>
      </c>
      <c r="E11">
        <v>47</v>
      </c>
      <c r="F11">
        <v>28</v>
      </c>
      <c r="G11">
        <v>49</v>
      </c>
      <c r="H11">
        <v>1200</v>
      </c>
      <c r="I11">
        <v>988</v>
      </c>
      <c r="J11">
        <v>37</v>
      </c>
      <c r="K11">
        <v>37</v>
      </c>
      <c r="L11">
        <v>-15</v>
      </c>
      <c r="M11" s="6">
        <v>47.3</v>
      </c>
      <c r="N11" s="6">
        <v>446</v>
      </c>
      <c r="O11" s="1">
        <v>-14.5</v>
      </c>
      <c r="P11">
        <v>-15</v>
      </c>
      <c r="Q11" s="1">
        <v>-14.5</v>
      </c>
      <c r="R11" s="2" t="s">
        <v>40</v>
      </c>
      <c r="S11">
        <v>46</v>
      </c>
      <c r="T11">
        <v>25</v>
      </c>
      <c r="U11">
        <v>47</v>
      </c>
      <c r="V11">
        <v>1175</v>
      </c>
      <c r="W11">
        <v>22</v>
      </c>
      <c r="X11" t="s">
        <v>20</v>
      </c>
      <c r="Y11">
        <v>0</v>
      </c>
      <c r="Z11">
        <v>4750</v>
      </c>
      <c r="AA11">
        <v>4000</v>
      </c>
      <c r="AB11">
        <v>0</v>
      </c>
    </row>
    <row r="12" spans="1:28">
      <c r="A12" t="s">
        <v>29</v>
      </c>
      <c r="B12">
        <v>-4</v>
      </c>
      <c r="C12">
        <v>99.7</v>
      </c>
      <c r="D12" s="7">
        <v>3900</v>
      </c>
      <c r="E12">
        <v>50</v>
      </c>
      <c r="F12">
        <v>28</v>
      </c>
      <c r="G12">
        <v>49</v>
      </c>
      <c r="H12">
        <v>1200</v>
      </c>
      <c r="I12">
        <v>988</v>
      </c>
      <c r="J12">
        <v>38</v>
      </c>
      <c r="K12">
        <v>38</v>
      </c>
      <c r="L12">
        <v>-13</v>
      </c>
      <c r="M12" s="6" t="s">
        <v>40</v>
      </c>
      <c r="N12" s="6" t="s">
        <v>40</v>
      </c>
      <c r="O12" s="1">
        <v>-12.7</v>
      </c>
      <c r="P12">
        <v>-13</v>
      </c>
      <c r="Q12" s="1">
        <v>-12.7</v>
      </c>
      <c r="R12" s="2" t="s">
        <v>40</v>
      </c>
      <c r="S12">
        <v>46</v>
      </c>
      <c r="T12">
        <v>26</v>
      </c>
      <c r="U12">
        <v>60</v>
      </c>
      <c r="V12">
        <v>1541</v>
      </c>
      <c r="W12">
        <v>25</v>
      </c>
      <c r="X12" t="s">
        <v>20</v>
      </c>
      <c r="Y12">
        <v>0</v>
      </c>
      <c r="Z12">
        <v>4750</v>
      </c>
      <c r="AA12">
        <v>4000</v>
      </c>
      <c r="AB12">
        <v>0</v>
      </c>
    </row>
    <row r="13" spans="1:28">
      <c r="A13" t="s">
        <v>30</v>
      </c>
      <c r="B13">
        <v>-5.5</v>
      </c>
      <c r="C13">
        <v>100.8</v>
      </c>
      <c r="D13" s="7">
        <v>3900</v>
      </c>
      <c r="E13">
        <v>51</v>
      </c>
      <c r="F13">
        <v>28</v>
      </c>
      <c r="G13">
        <v>61</v>
      </c>
      <c r="H13">
        <v>1200</v>
      </c>
      <c r="I13">
        <v>889</v>
      </c>
      <c r="J13">
        <v>39</v>
      </c>
      <c r="K13">
        <v>39</v>
      </c>
      <c r="L13">
        <v>-12</v>
      </c>
      <c r="M13" s="6">
        <v>50.8</v>
      </c>
      <c r="N13" s="6">
        <v>246</v>
      </c>
      <c r="O13" s="1">
        <v>-12.3</v>
      </c>
      <c r="P13">
        <v>-12</v>
      </c>
      <c r="Q13" s="1">
        <v>-12.3</v>
      </c>
      <c r="R13" s="2" t="s">
        <v>40</v>
      </c>
      <c r="S13">
        <v>47</v>
      </c>
      <c r="T13">
        <v>29</v>
      </c>
      <c r="U13">
        <v>69</v>
      </c>
      <c r="V13">
        <v>2017</v>
      </c>
      <c r="W13">
        <v>24</v>
      </c>
      <c r="X13" t="s">
        <v>20</v>
      </c>
      <c r="Y13">
        <v>0</v>
      </c>
      <c r="Z13">
        <v>4750</v>
      </c>
      <c r="AA13">
        <v>4000</v>
      </c>
      <c r="AB13">
        <v>0</v>
      </c>
    </row>
    <row r="14" spans="1:28">
      <c r="A14" t="s">
        <v>31</v>
      </c>
      <c r="B14">
        <v>-7</v>
      </c>
      <c r="C14">
        <v>102.3</v>
      </c>
      <c r="D14" s="7">
        <v>3900</v>
      </c>
      <c r="E14">
        <v>34</v>
      </c>
      <c r="F14">
        <v>27</v>
      </c>
      <c r="G14">
        <v>63</v>
      </c>
      <c r="H14">
        <v>1200</v>
      </c>
      <c r="I14">
        <v>887</v>
      </c>
      <c r="J14">
        <v>50</v>
      </c>
      <c r="K14">
        <v>50</v>
      </c>
      <c r="L14">
        <v>-15</v>
      </c>
      <c r="M14" s="6">
        <v>33.5</v>
      </c>
      <c r="N14" s="6">
        <v>220</v>
      </c>
      <c r="O14" s="1">
        <v>-14.6</v>
      </c>
      <c r="P14">
        <v>-15</v>
      </c>
      <c r="Q14" s="1">
        <v>-14.6</v>
      </c>
      <c r="R14" s="2" t="s">
        <v>40</v>
      </c>
      <c r="S14">
        <v>61</v>
      </c>
      <c r="T14">
        <v>37</v>
      </c>
      <c r="U14">
        <v>72</v>
      </c>
      <c r="V14">
        <v>2692</v>
      </c>
      <c r="W14">
        <v>25</v>
      </c>
      <c r="X14" t="s">
        <v>20</v>
      </c>
      <c r="Y14">
        <v>0</v>
      </c>
      <c r="Z14">
        <v>4750</v>
      </c>
      <c r="AA14">
        <v>4000</v>
      </c>
      <c r="AB14">
        <v>0</v>
      </c>
    </row>
    <row r="15" spans="1:28">
      <c r="A15" t="s">
        <v>32</v>
      </c>
      <c r="B15">
        <v>-8.4</v>
      </c>
      <c r="C15">
        <v>105</v>
      </c>
      <c r="D15" s="7">
        <v>4000</v>
      </c>
      <c r="E15">
        <v>32</v>
      </c>
      <c r="F15">
        <v>27</v>
      </c>
      <c r="G15">
        <v>71</v>
      </c>
      <c r="H15">
        <v>1200</v>
      </c>
      <c r="I15">
        <v>852</v>
      </c>
      <c r="J15">
        <v>53</v>
      </c>
      <c r="K15">
        <v>53</v>
      </c>
      <c r="L15">
        <v>-15</v>
      </c>
      <c r="M15" s="6">
        <v>32.4</v>
      </c>
      <c r="N15" s="6">
        <v>329</v>
      </c>
      <c r="O15" s="1">
        <v>-14.7</v>
      </c>
      <c r="P15">
        <v>-15</v>
      </c>
      <c r="Q15" s="1">
        <v>-14.7</v>
      </c>
      <c r="R15" s="2" t="s">
        <v>40</v>
      </c>
      <c r="S15">
        <v>64</v>
      </c>
      <c r="T15">
        <v>42</v>
      </c>
      <c r="U15">
        <v>75</v>
      </c>
      <c r="V15">
        <v>3133</v>
      </c>
      <c r="W15">
        <v>24</v>
      </c>
      <c r="X15" t="s">
        <v>20</v>
      </c>
      <c r="Y15">
        <v>0</v>
      </c>
      <c r="Z15">
        <v>4750</v>
      </c>
      <c r="AA15">
        <v>4000</v>
      </c>
      <c r="AB15">
        <v>0</v>
      </c>
    </row>
    <row r="16" spans="1:28">
      <c r="A16" t="s">
        <v>33</v>
      </c>
      <c r="B16">
        <v>-9.6999999999999993</v>
      </c>
      <c r="C16">
        <v>107</v>
      </c>
      <c r="D16" s="7">
        <v>4000</v>
      </c>
      <c r="E16">
        <v>25</v>
      </c>
      <c r="F16">
        <v>26</v>
      </c>
      <c r="G16">
        <v>68</v>
      </c>
      <c r="H16">
        <v>1200</v>
      </c>
      <c r="I16">
        <v>873</v>
      </c>
      <c r="J16">
        <v>57</v>
      </c>
      <c r="K16">
        <v>57</v>
      </c>
      <c r="L16">
        <v>-15</v>
      </c>
      <c r="M16" s="6">
        <v>24.7</v>
      </c>
      <c r="N16" s="6">
        <v>331</v>
      </c>
      <c r="O16" s="1">
        <v>-14.6</v>
      </c>
      <c r="P16">
        <v>-15</v>
      </c>
      <c r="Q16" s="1">
        <v>-14.6</v>
      </c>
      <c r="R16" s="2" t="s">
        <v>40</v>
      </c>
      <c r="S16">
        <v>70</v>
      </c>
      <c r="T16">
        <v>44</v>
      </c>
      <c r="U16">
        <v>78</v>
      </c>
      <c r="V16">
        <v>3430</v>
      </c>
      <c r="W16">
        <v>25</v>
      </c>
      <c r="X16" t="s">
        <v>20</v>
      </c>
      <c r="Y16">
        <v>0</v>
      </c>
      <c r="Z16">
        <v>4750</v>
      </c>
      <c r="AA16">
        <v>4000</v>
      </c>
      <c r="AB16">
        <v>0</v>
      </c>
    </row>
    <row r="17" spans="1:28">
      <c r="A17" t="s">
        <v>34</v>
      </c>
      <c r="B17">
        <v>-10.5</v>
      </c>
      <c r="C17">
        <v>109</v>
      </c>
      <c r="D17" s="7">
        <v>4000</v>
      </c>
      <c r="E17">
        <v>10</v>
      </c>
      <c r="F17">
        <v>28</v>
      </c>
      <c r="G17">
        <v>68</v>
      </c>
      <c r="H17">
        <v>1200</v>
      </c>
      <c r="I17">
        <v>854</v>
      </c>
      <c r="J17">
        <v>60</v>
      </c>
      <c r="K17">
        <v>60</v>
      </c>
      <c r="L17">
        <v>-16</v>
      </c>
      <c r="M17" s="6">
        <v>10</v>
      </c>
      <c r="N17" s="6">
        <v>386</v>
      </c>
      <c r="O17" s="1">
        <v>-15.7</v>
      </c>
      <c r="P17">
        <v>-16</v>
      </c>
      <c r="Q17" s="1">
        <v>-15.7</v>
      </c>
      <c r="R17" s="2" t="s">
        <v>40</v>
      </c>
      <c r="S17">
        <v>75</v>
      </c>
      <c r="T17">
        <v>47</v>
      </c>
      <c r="U17">
        <v>80</v>
      </c>
      <c r="V17">
        <v>3766</v>
      </c>
      <c r="W17">
        <v>25</v>
      </c>
      <c r="X17" t="s">
        <v>20</v>
      </c>
      <c r="Y17">
        <v>0</v>
      </c>
      <c r="Z17">
        <v>4750</v>
      </c>
      <c r="AA17">
        <v>4000</v>
      </c>
      <c r="AB17">
        <v>0</v>
      </c>
    </row>
    <row r="18" spans="1:28">
      <c r="A18" t="s">
        <v>35</v>
      </c>
      <c r="B18">
        <v>-10.4</v>
      </c>
      <c r="C18">
        <v>111</v>
      </c>
      <c r="D18" s="7">
        <v>4000</v>
      </c>
      <c r="E18">
        <v>10</v>
      </c>
      <c r="F18">
        <v>29</v>
      </c>
      <c r="G18">
        <v>69</v>
      </c>
      <c r="H18">
        <v>1200</v>
      </c>
      <c r="I18">
        <v>842</v>
      </c>
      <c r="J18">
        <v>62</v>
      </c>
      <c r="K18">
        <v>62</v>
      </c>
      <c r="L18">
        <v>-15</v>
      </c>
      <c r="M18" s="6">
        <v>10</v>
      </c>
      <c r="N18" s="6">
        <v>235</v>
      </c>
      <c r="O18" s="1">
        <v>-14.7</v>
      </c>
      <c r="P18">
        <v>-15</v>
      </c>
      <c r="Q18" s="1">
        <v>-14.7</v>
      </c>
      <c r="R18" s="2" t="s">
        <v>40</v>
      </c>
      <c r="S18">
        <v>76</v>
      </c>
      <c r="T18">
        <v>49</v>
      </c>
      <c r="U18">
        <v>81</v>
      </c>
      <c r="V18">
        <v>3998</v>
      </c>
      <c r="W18">
        <v>25</v>
      </c>
      <c r="X18" t="s">
        <v>20</v>
      </c>
      <c r="Y18">
        <v>0</v>
      </c>
      <c r="Z18">
        <v>4750</v>
      </c>
      <c r="AA18">
        <v>4000</v>
      </c>
      <c r="AB18">
        <v>0</v>
      </c>
    </row>
    <row r="19" spans="1:28">
      <c r="A19" t="s">
        <v>36</v>
      </c>
      <c r="B19">
        <v>-10.7</v>
      </c>
      <c r="C19">
        <v>113</v>
      </c>
      <c r="D19" s="7">
        <v>4000</v>
      </c>
      <c r="E19">
        <v>8</v>
      </c>
      <c r="F19">
        <v>30</v>
      </c>
      <c r="G19">
        <v>68</v>
      </c>
      <c r="H19">
        <v>1200</v>
      </c>
      <c r="I19">
        <v>838</v>
      </c>
      <c r="J19">
        <v>64</v>
      </c>
      <c r="K19">
        <v>64</v>
      </c>
      <c r="L19">
        <v>-15</v>
      </c>
      <c r="M19" s="6">
        <v>8</v>
      </c>
      <c r="N19" s="6">
        <v>374</v>
      </c>
      <c r="O19" s="1">
        <v>-14.8</v>
      </c>
      <c r="P19">
        <v>-15</v>
      </c>
      <c r="Q19" s="1">
        <v>-14.8</v>
      </c>
      <c r="R19" s="2" t="s">
        <v>40</v>
      </c>
      <c r="S19">
        <v>77</v>
      </c>
      <c r="T19">
        <v>51</v>
      </c>
      <c r="U19">
        <v>82</v>
      </c>
      <c r="V19">
        <v>4197</v>
      </c>
      <c r="W19">
        <v>25</v>
      </c>
      <c r="X19" t="s">
        <v>20</v>
      </c>
      <c r="Y19">
        <v>0</v>
      </c>
      <c r="Z19">
        <v>4750</v>
      </c>
      <c r="AA19">
        <v>4000</v>
      </c>
      <c r="AB19">
        <v>0</v>
      </c>
    </row>
    <row r="20" spans="1:28">
      <c r="A20" t="s">
        <v>37</v>
      </c>
      <c r="B20">
        <v>-11.2</v>
      </c>
      <c r="C20">
        <v>115</v>
      </c>
      <c r="D20" s="7">
        <v>4000</v>
      </c>
      <c r="E20">
        <v>11</v>
      </c>
      <c r="F20">
        <v>29</v>
      </c>
      <c r="G20">
        <v>68</v>
      </c>
      <c r="H20">
        <v>1200</v>
      </c>
      <c r="I20">
        <v>846</v>
      </c>
      <c r="J20">
        <v>65</v>
      </c>
      <c r="K20">
        <v>65</v>
      </c>
      <c r="L20">
        <v>-14</v>
      </c>
      <c r="M20" s="6">
        <v>11.4</v>
      </c>
      <c r="N20" s="6">
        <v>261</v>
      </c>
      <c r="O20" s="1">
        <v>-13.6</v>
      </c>
      <c r="P20">
        <v>-14</v>
      </c>
      <c r="Q20" s="1">
        <v>-13.6</v>
      </c>
      <c r="R20" s="2" t="s">
        <v>40</v>
      </c>
      <c r="S20">
        <v>77</v>
      </c>
      <c r="T20">
        <v>51</v>
      </c>
      <c r="U20">
        <v>83</v>
      </c>
      <c r="V20">
        <v>4274</v>
      </c>
      <c r="W20">
        <v>25</v>
      </c>
      <c r="X20" t="s">
        <v>20</v>
      </c>
      <c r="Y20">
        <v>0</v>
      </c>
      <c r="Z20">
        <v>4750</v>
      </c>
      <c r="AA20">
        <v>4000</v>
      </c>
      <c r="AB20">
        <v>0</v>
      </c>
    </row>
    <row r="21" spans="1:28">
      <c r="A21" t="s">
        <v>38</v>
      </c>
      <c r="B21">
        <v>-11.3</v>
      </c>
      <c r="C21">
        <v>117</v>
      </c>
      <c r="D21" s="7">
        <v>4000</v>
      </c>
      <c r="E21">
        <v>359</v>
      </c>
      <c r="F21">
        <v>27</v>
      </c>
      <c r="G21">
        <v>70</v>
      </c>
      <c r="H21">
        <v>1200</v>
      </c>
      <c r="I21">
        <v>855</v>
      </c>
      <c r="J21">
        <v>66</v>
      </c>
      <c r="K21">
        <v>66</v>
      </c>
      <c r="L21">
        <v>-13</v>
      </c>
      <c r="M21" s="6">
        <v>358.7</v>
      </c>
      <c r="N21" s="6">
        <v>229</v>
      </c>
      <c r="O21" s="1">
        <v>-13</v>
      </c>
      <c r="P21">
        <v>-13</v>
      </c>
      <c r="Q21" s="1">
        <v>-13</v>
      </c>
      <c r="R21" s="2" t="s">
        <v>40</v>
      </c>
      <c r="S21">
        <v>79</v>
      </c>
      <c r="T21">
        <v>52</v>
      </c>
      <c r="U21">
        <v>84</v>
      </c>
      <c r="V21">
        <v>4336</v>
      </c>
      <c r="W21">
        <v>26</v>
      </c>
      <c r="X21" t="s">
        <v>20</v>
      </c>
      <c r="Y21">
        <v>0</v>
      </c>
      <c r="Z21">
        <v>4750</v>
      </c>
      <c r="AA21">
        <v>4000</v>
      </c>
      <c r="AB21">
        <v>0</v>
      </c>
    </row>
    <row r="22" spans="1:28">
      <c r="A22" t="s">
        <v>39</v>
      </c>
      <c r="B22">
        <v>2</v>
      </c>
      <c r="C22">
        <v>123</v>
      </c>
      <c r="D22" s="7">
        <v>850</v>
      </c>
      <c r="E22">
        <v>170</v>
      </c>
      <c r="F22">
        <v>30</v>
      </c>
      <c r="G22" t="s">
        <v>40</v>
      </c>
      <c r="H22">
        <v>150</v>
      </c>
      <c r="I22">
        <v>270</v>
      </c>
      <c r="J22">
        <v>36</v>
      </c>
      <c r="K22">
        <v>56</v>
      </c>
      <c r="L22">
        <v>80</v>
      </c>
      <c r="M22" s="6" t="s">
        <v>40</v>
      </c>
      <c r="N22" s="6" t="s">
        <v>40</v>
      </c>
      <c r="O22" s="3" t="s">
        <v>40</v>
      </c>
      <c r="P22">
        <v>49</v>
      </c>
      <c r="Q22" s="3" t="s">
        <v>40</v>
      </c>
      <c r="R22" s="3" t="s">
        <v>40</v>
      </c>
      <c r="S22">
        <v>-14</v>
      </c>
      <c r="T22">
        <v>20</v>
      </c>
      <c r="U22">
        <v>40</v>
      </c>
      <c r="V22">
        <v>798</v>
      </c>
      <c r="W22">
        <v>6</v>
      </c>
      <c r="X22" t="s">
        <v>20</v>
      </c>
      <c r="Y22">
        <v>1</v>
      </c>
      <c r="Z22">
        <v>450</v>
      </c>
      <c r="AA22" s="7">
        <v>850</v>
      </c>
      <c r="AB22">
        <v>0</v>
      </c>
    </row>
    <row r="23" spans="1:28">
      <c r="A23" t="s">
        <v>41</v>
      </c>
      <c r="B23">
        <v>2.2999999999999998</v>
      </c>
      <c r="C23">
        <v>121</v>
      </c>
      <c r="D23" s="7">
        <v>850</v>
      </c>
      <c r="E23">
        <v>190</v>
      </c>
      <c r="F23">
        <v>30</v>
      </c>
      <c r="G23" t="s">
        <v>40</v>
      </c>
      <c r="H23">
        <v>150</v>
      </c>
      <c r="I23" t="s">
        <v>40</v>
      </c>
      <c r="J23">
        <v>26</v>
      </c>
      <c r="K23">
        <v>23</v>
      </c>
      <c r="L23">
        <v>80</v>
      </c>
      <c r="M23" s="6" t="s">
        <v>40</v>
      </c>
      <c r="N23" s="6" t="s">
        <v>40</v>
      </c>
      <c r="O23" s="3" t="s">
        <v>40</v>
      </c>
      <c r="P23">
        <v>37</v>
      </c>
      <c r="Q23" s="3" t="s">
        <v>40</v>
      </c>
      <c r="R23" s="3" t="s">
        <v>40</v>
      </c>
      <c r="S23">
        <v>-11</v>
      </c>
      <c r="T23" t="s">
        <v>40</v>
      </c>
      <c r="U23">
        <v>40</v>
      </c>
      <c r="V23" t="s">
        <v>40</v>
      </c>
      <c r="W23" t="s">
        <v>40</v>
      </c>
      <c r="X23" t="s">
        <v>20</v>
      </c>
      <c r="Y23">
        <v>1</v>
      </c>
      <c r="Z23">
        <v>450</v>
      </c>
      <c r="AA23" s="7">
        <v>850</v>
      </c>
      <c r="AB23">
        <v>0</v>
      </c>
    </row>
    <row r="24" spans="1:28">
      <c r="A24" t="s">
        <v>42</v>
      </c>
      <c r="B24">
        <v>10</v>
      </c>
      <c r="C24">
        <v>121.7</v>
      </c>
      <c r="D24" s="8" t="s">
        <v>40</v>
      </c>
      <c r="E24">
        <v>92</v>
      </c>
      <c r="F24">
        <v>32</v>
      </c>
      <c r="G24">
        <v>55</v>
      </c>
      <c r="H24">
        <v>300</v>
      </c>
      <c r="I24">
        <v>450</v>
      </c>
      <c r="J24">
        <v>25</v>
      </c>
      <c r="K24">
        <v>97</v>
      </c>
      <c r="L24">
        <v>94</v>
      </c>
      <c r="M24" s="6" t="s">
        <v>40</v>
      </c>
      <c r="N24" s="6" t="s">
        <v>40</v>
      </c>
      <c r="O24" s="1">
        <v>93.6</v>
      </c>
      <c r="P24">
        <v>20</v>
      </c>
      <c r="Q24" s="1">
        <v>20.3</v>
      </c>
      <c r="R24" s="1">
        <v>72.2</v>
      </c>
      <c r="S24">
        <v>-4</v>
      </c>
      <c r="T24">
        <v>17</v>
      </c>
      <c r="U24">
        <v>20</v>
      </c>
      <c r="V24">
        <v>332</v>
      </c>
      <c r="W24">
        <v>7</v>
      </c>
      <c r="X24" t="s">
        <v>20</v>
      </c>
      <c r="Y24">
        <v>1</v>
      </c>
      <c r="Z24" s="11" t="s">
        <v>40</v>
      </c>
      <c r="AA24" s="8" t="s">
        <v>40</v>
      </c>
      <c r="AB24">
        <v>0</v>
      </c>
    </row>
    <row r="25" spans="1:28">
      <c r="A25" t="s">
        <v>43</v>
      </c>
      <c r="B25">
        <v>14</v>
      </c>
      <c r="C25">
        <v>119.2</v>
      </c>
      <c r="D25" s="7">
        <v>2800</v>
      </c>
      <c r="E25">
        <v>65</v>
      </c>
      <c r="F25">
        <v>40</v>
      </c>
      <c r="G25">
        <v>75</v>
      </c>
      <c r="H25">
        <v>400</v>
      </c>
      <c r="I25">
        <v>479</v>
      </c>
      <c r="J25">
        <v>41</v>
      </c>
      <c r="K25">
        <v>65</v>
      </c>
      <c r="L25">
        <v>54</v>
      </c>
      <c r="M25" s="6" t="s">
        <v>40</v>
      </c>
      <c r="N25" s="6" t="s">
        <v>40</v>
      </c>
      <c r="O25" s="1">
        <v>54.1</v>
      </c>
      <c r="P25">
        <v>34</v>
      </c>
      <c r="Q25" s="1">
        <v>33.5</v>
      </c>
      <c r="R25" s="1">
        <v>23.9</v>
      </c>
      <c r="S25">
        <v>11</v>
      </c>
      <c r="T25">
        <v>34</v>
      </c>
      <c r="U25">
        <v>22</v>
      </c>
      <c r="V25">
        <v>753</v>
      </c>
      <c r="W25">
        <v>7</v>
      </c>
      <c r="X25" t="s">
        <v>44</v>
      </c>
      <c r="Y25">
        <v>1</v>
      </c>
      <c r="Z25">
        <v>1200</v>
      </c>
      <c r="AA25">
        <v>3000</v>
      </c>
      <c r="AB25">
        <v>0</v>
      </c>
    </row>
    <row r="26" spans="1:28">
      <c r="A26" t="s">
        <v>45</v>
      </c>
      <c r="B26">
        <v>16</v>
      </c>
      <c r="C26">
        <v>119.2</v>
      </c>
      <c r="D26" s="7">
        <v>2800</v>
      </c>
      <c r="E26">
        <v>95</v>
      </c>
      <c r="F26">
        <v>36</v>
      </c>
      <c r="G26">
        <v>60</v>
      </c>
      <c r="H26">
        <v>670</v>
      </c>
      <c r="I26">
        <v>842</v>
      </c>
      <c r="J26">
        <v>71</v>
      </c>
      <c r="K26">
        <v>93</v>
      </c>
      <c r="L26">
        <v>54</v>
      </c>
      <c r="M26" s="6" t="s">
        <v>40</v>
      </c>
      <c r="N26" s="6" t="s">
        <v>40</v>
      </c>
      <c r="O26" s="1">
        <v>54.1</v>
      </c>
      <c r="P26">
        <v>68</v>
      </c>
      <c r="Q26" s="1">
        <v>67.7</v>
      </c>
      <c r="R26" s="1">
        <v>22</v>
      </c>
      <c r="S26">
        <v>7</v>
      </c>
      <c r="T26">
        <v>56</v>
      </c>
      <c r="U26">
        <v>18</v>
      </c>
      <c r="V26">
        <v>1017</v>
      </c>
      <c r="W26">
        <v>12</v>
      </c>
      <c r="X26" t="s">
        <v>44</v>
      </c>
      <c r="Y26">
        <v>1</v>
      </c>
      <c r="Z26">
        <v>1200</v>
      </c>
      <c r="AA26">
        <v>3000</v>
      </c>
      <c r="AB26">
        <v>0</v>
      </c>
    </row>
    <row r="27" spans="1:28">
      <c r="A27" t="s">
        <v>46</v>
      </c>
      <c r="B27">
        <v>17.5</v>
      </c>
      <c r="C27">
        <v>119.2</v>
      </c>
      <c r="D27" s="7">
        <v>2800</v>
      </c>
      <c r="E27">
        <v>88</v>
      </c>
      <c r="F27">
        <v>26</v>
      </c>
      <c r="G27">
        <v>60</v>
      </c>
      <c r="H27">
        <v>670</v>
      </c>
      <c r="I27">
        <v>914</v>
      </c>
      <c r="J27">
        <v>86</v>
      </c>
      <c r="K27">
        <v>87</v>
      </c>
      <c r="L27">
        <v>80</v>
      </c>
      <c r="M27" s="6" t="s">
        <v>40</v>
      </c>
      <c r="N27" s="6" t="s">
        <v>40</v>
      </c>
      <c r="O27" s="1">
        <v>80.3</v>
      </c>
      <c r="P27">
        <v>81</v>
      </c>
      <c r="Q27" s="1">
        <v>81.3</v>
      </c>
      <c r="R27" s="2" t="s">
        <v>40</v>
      </c>
      <c r="S27">
        <v>9</v>
      </c>
      <c r="T27">
        <v>63</v>
      </c>
      <c r="U27">
        <v>27</v>
      </c>
      <c r="V27">
        <v>1705</v>
      </c>
      <c r="W27">
        <v>16</v>
      </c>
      <c r="X27" t="s">
        <v>44</v>
      </c>
      <c r="Y27">
        <v>0</v>
      </c>
      <c r="Z27">
        <v>1200</v>
      </c>
      <c r="AA27">
        <v>3000</v>
      </c>
      <c r="AB27">
        <v>0</v>
      </c>
    </row>
    <row r="28" spans="1:28">
      <c r="A28" t="s">
        <v>47</v>
      </c>
      <c r="B28">
        <v>19</v>
      </c>
      <c r="C28">
        <v>119.8</v>
      </c>
      <c r="D28" s="7">
        <v>2800</v>
      </c>
      <c r="E28">
        <v>119</v>
      </c>
      <c r="F28">
        <v>37</v>
      </c>
      <c r="G28">
        <v>65</v>
      </c>
      <c r="H28">
        <v>670</v>
      </c>
      <c r="I28">
        <v>809</v>
      </c>
      <c r="J28">
        <v>97</v>
      </c>
      <c r="K28">
        <v>96</v>
      </c>
      <c r="L28">
        <v>96</v>
      </c>
      <c r="M28" s="6" t="s">
        <v>40</v>
      </c>
      <c r="N28" s="6" t="s">
        <v>40</v>
      </c>
      <c r="O28" s="1">
        <v>95.8</v>
      </c>
      <c r="P28">
        <v>94</v>
      </c>
      <c r="Q28" s="1">
        <v>94</v>
      </c>
      <c r="R28" s="2" t="s">
        <v>40</v>
      </c>
      <c r="S28">
        <v>2</v>
      </c>
      <c r="T28">
        <v>80</v>
      </c>
      <c r="U28">
        <v>32</v>
      </c>
      <c r="V28">
        <v>2565</v>
      </c>
      <c r="W28">
        <v>15</v>
      </c>
      <c r="X28" t="s">
        <v>44</v>
      </c>
      <c r="Y28">
        <v>0</v>
      </c>
      <c r="Z28">
        <v>1200</v>
      </c>
      <c r="AA28">
        <v>3000</v>
      </c>
      <c r="AB28">
        <v>0</v>
      </c>
    </row>
    <row r="29" spans="1:28">
      <c r="A29" t="s">
        <v>48</v>
      </c>
      <c r="B29">
        <v>20.5</v>
      </c>
      <c r="C29">
        <v>120.2</v>
      </c>
      <c r="D29" s="7">
        <v>2800</v>
      </c>
      <c r="E29">
        <v>74</v>
      </c>
      <c r="F29">
        <v>41</v>
      </c>
      <c r="G29">
        <v>75</v>
      </c>
      <c r="H29">
        <v>670</v>
      </c>
      <c r="I29">
        <v>755</v>
      </c>
      <c r="J29">
        <v>70</v>
      </c>
      <c r="K29">
        <v>70</v>
      </c>
      <c r="L29">
        <v>60</v>
      </c>
      <c r="M29" s="6" t="s">
        <v>40</v>
      </c>
      <c r="N29" s="6" t="s">
        <v>40</v>
      </c>
      <c r="O29" s="1">
        <v>59.8</v>
      </c>
      <c r="P29">
        <v>60</v>
      </c>
      <c r="Q29" s="1">
        <v>59.8</v>
      </c>
      <c r="R29" s="2" t="s">
        <v>40</v>
      </c>
      <c r="S29">
        <v>12</v>
      </c>
      <c r="T29">
        <v>62</v>
      </c>
      <c r="U29">
        <v>35</v>
      </c>
      <c r="V29">
        <v>2172</v>
      </c>
      <c r="W29">
        <v>15</v>
      </c>
      <c r="X29" t="s">
        <v>44</v>
      </c>
      <c r="Y29">
        <v>0</v>
      </c>
      <c r="Z29">
        <v>1200</v>
      </c>
      <c r="AA29">
        <v>3000</v>
      </c>
      <c r="AB29">
        <v>0</v>
      </c>
    </row>
    <row r="30" spans="1:28">
      <c r="A30" t="s">
        <v>49</v>
      </c>
      <c r="B30">
        <v>4</v>
      </c>
      <c r="C30">
        <v>128.6</v>
      </c>
      <c r="D30" s="7">
        <v>3300</v>
      </c>
      <c r="E30">
        <v>246</v>
      </c>
      <c r="F30">
        <v>39</v>
      </c>
      <c r="G30" t="s">
        <v>40</v>
      </c>
      <c r="H30">
        <v>250</v>
      </c>
      <c r="I30" t="s">
        <v>40</v>
      </c>
      <c r="J30">
        <v>16</v>
      </c>
      <c r="K30">
        <v>77</v>
      </c>
      <c r="L30">
        <v>7</v>
      </c>
      <c r="M30" s="6" t="s">
        <v>40</v>
      </c>
      <c r="N30" s="6" t="s">
        <v>40</v>
      </c>
      <c r="O30" s="3" t="s">
        <v>40</v>
      </c>
      <c r="P30">
        <v>-57</v>
      </c>
      <c r="Q30" s="3" t="s">
        <v>40</v>
      </c>
      <c r="R30" s="3" t="s">
        <v>40</v>
      </c>
      <c r="S30">
        <v>72</v>
      </c>
      <c r="T30" t="s">
        <v>40</v>
      </c>
      <c r="U30">
        <v>50</v>
      </c>
      <c r="V30" t="s">
        <v>40</v>
      </c>
      <c r="W30" t="s">
        <v>40</v>
      </c>
      <c r="X30" t="s">
        <v>20</v>
      </c>
      <c r="Y30">
        <v>1</v>
      </c>
      <c r="Z30">
        <v>1750</v>
      </c>
      <c r="AA30">
        <v>3000</v>
      </c>
      <c r="AB30">
        <v>0</v>
      </c>
    </row>
    <row r="31" spans="1:28">
      <c r="A31" t="s">
        <v>50</v>
      </c>
      <c r="B31">
        <v>8</v>
      </c>
      <c r="C31">
        <v>127.3</v>
      </c>
      <c r="D31" s="7">
        <v>3300</v>
      </c>
      <c r="E31">
        <v>267</v>
      </c>
      <c r="F31">
        <v>35</v>
      </c>
      <c r="G31" t="s">
        <v>40</v>
      </c>
      <c r="H31">
        <v>250</v>
      </c>
      <c r="I31">
        <v>330</v>
      </c>
      <c r="J31">
        <v>37</v>
      </c>
      <c r="K31">
        <v>95</v>
      </c>
      <c r="L31">
        <v>6</v>
      </c>
      <c r="M31" s="6" t="s">
        <v>40</v>
      </c>
      <c r="N31" s="6" t="s">
        <v>40</v>
      </c>
      <c r="O31" s="3" t="s">
        <v>40</v>
      </c>
      <c r="P31">
        <v>-62</v>
      </c>
      <c r="Q31" s="3" t="s">
        <v>40</v>
      </c>
      <c r="R31" s="3" t="s">
        <v>40</v>
      </c>
      <c r="S31">
        <v>92</v>
      </c>
      <c r="T31">
        <v>28</v>
      </c>
      <c r="U31">
        <v>50</v>
      </c>
      <c r="V31">
        <v>1413</v>
      </c>
      <c r="W31">
        <v>8</v>
      </c>
      <c r="X31" t="s">
        <v>20</v>
      </c>
      <c r="Y31">
        <v>0</v>
      </c>
      <c r="Z31">
        <v>1750</v>
      </c>
      <c r="AA31">
        <v>3000</v>
      </c>
      <c r="AB31">
        <v>0</v>
      </c>
    </row>
    <row r="32" spans="1:28">
      <c r="A32" t="s">
        <v>51</v>
      </c>
      <c r="B32">
        <v>10</v>
      </c>
      <c r="C32">
        <v>126.8</v>
      </c>
      <c r="D32" s="7">
        <v>3300</v>
      </c>
      <c r="E32">
        <v>253</v>
      </c>
      <c r="F32">
        <v>36</v>
      </c>
      <c r="G32" t="s">
        <v>40</v>
      </c>
      <c r="H32">
        <v>250</v>
      </c>
      <c r="I32">
        <v>330</v>
      </c>
      <c r="J32">
        <v>36</v>
      </c>
      <c r="K32">
        <v>80</v>
      </c>
      <c r="L32">
        <v>9</v>
      </c>
      <c r="M32" s="6" t="s">
        <v>40</v>
      </c>
      <c r="N32" s="6" t="s">
        <v>40</v>
      </c>
      <c r="O32" s="3" t="s">
        <v>40</v>
      </c>
      <c r="P32">
        <v>-44</v>
      </c>
      <c r="Q32" s="3" t="s">
        <v>40</v>
      </c>
      <c r="R32" s="3" t="s">
        <v>40</v>
      </c>
      <c r="S32">
        <v>74</v>
      </c>
      <c r="T32">
        <v>28</v>
      </c>
      <c r="U32">
        <v>50</v>
      </c>
      <c r="V32">
        <v>1375</v>
      </c>
      <c r="W32">
        <v>8</v>
      </c>
      <c r="X32" t="s">
        <v>20</v>
      </c>
      <c r="Y32">
        <v>0</v>
      </c>
      <c r="Z32">
        <v>1750</v>
      </c>
      <c r="AA32">
        <v>3000</v>
      </c>
      <c r="AB32">
        <v>0</v>
      </c>
    </row>
    <row r="33" spans="1:28">
      <c r="A33" t="s">
        <v>52</v>
      </c>
      <c r="B33">
        <v>12</v>
      </c>
      <c r="C33">
        <v>126.2</v>
      </c>
      <c r="D33" s="7">
        <v>3300</v>
      </c>
      <c r="E33">
        <v>247</v>
      </c>
      <c r="F33">
        <v>34</v>
      </c>
      <c r="G33" t="s">
        <v>40</v>
      </c>
      <c r="H33">
        <v>250</v>
      </c>
      <c r="I33">
        <v>300</v>
      </c>
      <c r="J33">
        <v>42</v>
      </c>
      <c r="K33">
        <v>71</v>
      </c>
      <c r="L33">
        <v>10</v>
      </c>
      <c r="M33" s="6" t="s">
        <v>40</v>
      </c>
      <c r="N33" s="6" t="s">
        <v>40</v>
      </c>
      <c r="O33" s="3" t="s">
        <v>40</v>
      </c>
      <c r="P33">
        <v>-19</v>
      </c>
      <c r="Q33" s="3" t="s">
        <v>40</v>
      </c>
      <c r="R33" s="3" t="s">
        <v>40</v>
      </c>
      <c r="S33">
        <v>65</v>
      </c>
      <c r="T33">
        <v>35</v>
      </c>
      <c r="U33">
        <v>50</v>
      </c>
      <c r="V33">
        <v>1767</v>
      </c>
      <c r="W33">
        <v>7</v>
      </c>
      <c r="X33" t="s">
        <v>20</v>
      </c>
      <c r="Y33">
        <v>0</v>
      </c>
      <c r="Z33">
        <v>1750</v>
      </c>
      <c r="AA33">
        <v>3000</v>
      </c>
      <c r="AB33">
        <v>0</v>
      </c>
    </row>
    <row r="34" spans="1:28">
      <c r="A34" t="s">
        <v>53</v>
      </c>
      <c r="B34">
        <v>14</v>
      </c>
      <c r="C34">
        <v>125.2</v>
      </c>
      <c r="D34" s="7">
        <v>3300</v>
      </c>
      <c r="E34">
        <v>248</v>
      </c>
      <c r="F34">
        <v>33</v>
      </c>
      <c r="G34" t="s">
        <v>40</v>
      </c>
      <c r="H34">
        <v>150</v>
      </c>
      <c r="I34">
        <v>270</v>
      </c>
      <c r="J34">
        <v>53</v>
      </c>
      <c r="K34">
        <v>70</v>
      </c>
      <c r="L34">
        <v>11</v>
      </c>
      <c r="M34" s="6" t="s">
        <v>40</v>
      </c>
      <c r="N34" s="6" t="s">
        <v>40</v>
      </c>
      <c r="O34" s="3" t="s">
        <v>40</v>
      </c>
      <c r="P34">
        <v>-4</v>
      </c>
      <c r="Q34" s="3" t="s">
        <v>40</v>
      </c>
      <c r="R34" s="3" t="s">
        <v>40</v>
      </c>
      <c r="S34">
        <v>63</v>
      </c>
      <c r="T34">
        <v>29</v>
      </c>
      <c r="U34">
        <v>45</v>
      </c>
      <c r="V34">
        <v>1323</v>
      </c>
      <c r="W34">
        <v>6</v>
      </c>
      <c r="X34" t="s">
        <v>20</v>
      </c>
      <c r="Y34">
        <v>1</v>
      </c>
      <c r="Z34">
        <v>1750</v>
      </c>
      <c r="AA34">
        <v>3000</v>
      </c>
      <c r="AB34">
        <v>0</v>
      </c>
    </row>
    <row r="35" spans="1:28">
      <c r="A35" t="s">
        <v>54</v>
      </c>
      <c r="B35">
        <v>15.6</v>
      </c>
      <c r="C35">
        <v>123.5</v>
      </c>
      <c r="D35" s="7">
        <v>3300</v>
      </c>
      <c r="E35">
        <v>205</v>
      </c>
      <c r="F35">
        <v>30</v>
      </c>
      <c r="G35" t="s">
        <v>40</v>
      </c>
      <c r="H35">
        <v>100</v>
      </c>
      <c r="I35">
        <v>250</v>
      </c>
      <c r="J35">
        <v>36</v>
      </c>
      <c r="K35">
        <v>2</v>
      </c>
      <c r="L35">
        <v>14</v>
      </c>
      <c r="M35" s="6" t="s">
        <v>40</v>
      </c>
      <c r="N35" s="6" t="s">
        <v>40</v>
      </c>
      <c r="O35" s="3" t="s">
        <v>40</v>
      </c>
      <c r="P35">
        <v>52</v>
      </c>
      <c r="Q35" s="3" t="s">
        <v>40</v>
      </c>
      <c r="R35" s="3" t="s">
        <v>40</v>
      </c>
      <c r="S35">
        <v>-9</v>
      </c>
      <c r="T35">
        <v>14</v>
      </c>
      <c r="U35">
        <v>40</v>
      </c>
      <c r="V35">
        <v>578</v>
      </c>
      <c r="W35">
        <v>5</v>
      </c>
      <c r="X35" t="s">
        <v>20</v>
      </c>
      <c r="Y35">
        <v>1</v>
      </c>
      <c r="Z35">
        <v>1750</v>
      </c>
      <c r="AA35">
        <v>3000</v>
      </c>
      <c r="AB35">
        <v>0</v>
      </c>
    </row>
    <row r="36" spans="1:28" ht="19" customHeight="1">
      <c r="A36" t="s">
        <v>55</v>
      </c>
      <c r="B36">
        <v>23.4</v>
      </c>
      <c r="C36">
        <v>124</v>
      </c>
      <c r="D36" s="12">
        <v>1500</v>
      </c>
      <c r="E36">
        <v>345</v>
      </c>
      <c r="F36">
        <v>37</v>
      </c>
      <c r="G36">
        <v>65</v>
      </c>
      <c r="H36">
        <v>670</v>
      </c>
      <c r="I36">
        <v>809</v>
      </c>
      <c r="J36">
        <v>96</v>
      </c>
      <c r="K36">
        <v>51</v>
      </c>
      <c r="L36">
        <v>-14</v>
      </c>
      <c r="M36" s="6">
        <v>345</v>
      </c>
      <c r="N36" s="6">
        <v>172</v>
      </c>
      <c r="O36" s="1">
        <v>-13.8</v>
      </c>
      <c r="P36">
        <v>30</v>
      </c>
      <c r="Q36" s="1">
        <v>30.3</v>
      </c>
      <c r="R36" s="1">
        <v>-44.5</v>
      </c>
      <c r="S36">
        <v>64</v>
      </c>
      <c r="T36">
        <v>79</v>
      </c>
      <c r="U36">
        <v>35</v>
      </c>
      <c r="V36">
        <v>2774</v>
      </c>
      <c r="W36">
        <v>16</v>
      </c>
      <c r="X36" t="s">
        <v>20</v>
      </c>
      <c r="Y36">
        <v>1</v>
      </c>
      <c r="Z36">
        <v>2000</v>
      </c>
      <c r="AA36">
        <v>1400</v>
      </c>
      <c r="AB36">
        <v>-1</v>
      </c>
    </row>
    <row r="37" spans="1:28">
      <c r="A37" t="s">
        <v>56</v>
      </c>
      <c r="B37">
        <v>24.2</v>
      </c>
      <c r="C37">
        <v>127</v>
      </c>
      <c r="D37" s="12">
        <v>1500</v>
      </c>
      <c r="E37">
        <v>325</v>
      </c>
      <c r="F37">
        <v>34</v>
      </c>
      <c r="G37">
        <v>57</v>
      </c>
      <c r="H37">
        <v>600</v>
      </c>
      <c r="I37">
        <v>790</v>
      </c>
      <c r="J37">
        <v>85</v>
      </c>
      <c r="K37">
        <v>56</v>
      </c>
      <c r="L37">
        <v>-18</v>
      </c>
      <c r="M37" s="6">
        <v>325</v>
      </c>
      <c r="N37" s="6">
        <v>332</v>
      </c>
      <c r="O37" s="1">
        <v>-17.5</v>
      </c>
      <c r="P37">
        <v>9</v>
      </c>
      <c r="Q37" s="1">
        <v>9</v>
      </c>
      <c r="R37" s="1">
        <v>-29</v>
      </c>
      <c r="S37">
        <v>77</v>
      </c>
      <c r="T37">
        <v>65</v>
      </c>
      <c r="U37">
        <v>38</v>
      </c>
      <c r="V37">
        <v>2453</v>
      </c>
      <c r="W37">
        <v>16</v>
      </c>
      <c r="X37" t="s">
        <v>20</v>
      </c>
      <c r="Y37">
        <v>1</v>
      </c>
      <c r="Z37">
        <v>2000</v>
      </c>
      <c r="AA37">
        <v>1400</v>
      </c>
      <c r="AB37">
        <v>-1</v>
      </c>
    </row>
    <row r="38" spans="1:28">
      <c r="A38" t="s">
        <v>57</v>
      </c>
      <c r="B38">
        <v>25.7</v>
      </c>
      <c r="C38">
        <v>129</v>
      </c>
      <c r="D38" s="12">
        <v>1500</v>
      </c>
      <c r="E38">
        <v>320</v>
      </c>
      <c r="F38">
        <v>34</v>
      </c>
      <c r="G38">
        <v>58</v>
      </c>
      <c r="H38">
        <v>350</v>
      </c>
      <c r="I38">
        <v>489</v>
      </c>
      <c r="J38">
        <v>87</v>
      </c>
      <c r="K38">
        <v>55</v>
      </c>
      <c r="L38">
        <v>-21</v>
      </c>
      <c r="M38" s="6">
        <v>320</v>
      </c>
      <c r="N38" s="6">
        <v>226</v>
      </c>
      <c r="O38" s="1">
        <v>-20.5</v>
      </c>
      <c r="P38">
        <v>12</v>
      </c>
      <c r="Q38" s="1">
        <v>11.8</v>
      </c>
      <c r="R38" s="1">
        <v>-31.5</v>
      </c>
      <c r="S38">
        <v>76</v>
      </c>
      <c r="T38">
        <v>62</v>
      </c>
      <c r="U38">
        <v>48</v>
      </c>
      <c r="V38">
        <v>2973</v>
      </c>
      <c r="W38">
        <v>11</v>
      </c>
      <c r="X38" t="s">
        <v>20</v>
      </c>
      <c r="Y38">
        <v>0</v>
      </c>
      <c r="Z38">
        <v>2000</v>
      </c>
      <c r="AA38">
        <v>1400</v>
      </c>
      <c r="AB38">
        <v>-1</v>
      </c>
    </row>
    <row r="39" spans="1:28">
      <c r="A39" t="s">
        <v>58</v>
      </c>
      <c r="B39">
        <v>27.5</v>
      </c>
      <c r="C39">
        <v>130.5</v>
      </c>
      <c r="D39" s="12">
        <v>1500</v>
      </c>
      <c r="E39">
        <v>310</v>
      </c>
      <c r="F39">
        <v>35</v>
      </c>
      <c r="G39">
        <v>61</v>
      </c>
      <c r="H39">
        <v>325</v>
      </c>
      <c r="I39">
        <v>447</v>
      </c>
      <c r="J39">
        <v>82</v>
      </c>
      <c r="K39">
        <v>53</v>
      </c>
      <c r="L39">
        <v>-21</v>
      </c>
      <c r="M39" s="6">
        <v>310</v>
      </c>
      <c r="N39" s="6">
        <v>172</v>
      </c>
      <c r="O39" s="1">
        <v>-21.1</v>
      </c>
      <c r="P39">
        <v>7</v>
      </c>
      <c r="Q39" s="1">
        <v>6.6</v>
      </c>
      <c r="R39" s="1">
        <v>-29</v>
      </c>
      <c r="S39">
        <v>74</v>
      </c>
      <c r="T39">
        <v>60</v>
      </c>
      <c r="U39">
        <v>50</v>
      </c>
      <c r="V39">
        <v>2984</v>
      </c>
      <c r="W39">
        <v>10</v>
      </c>
      <c r="X39" t="s">
        <v>20</v>
      </c>
      <c r="Y39">
        <v>0</v>
      </c>
      <c r="Z39">
        <v>2000</v>
      </c>
      <c r="AA39">
        <v>1400</v>
      </c>
      <c r="AB39">
        <v>-1</v>
      </c>
    </row>
    <row r="40" spans="1:28">
      <c r="A40" t="s">
        <v>59</v>
      </c>
      <c r="B40">
        <v>29.8</v>
      </c>
      <c r="C40">
        <v>132</v>
      </c>
      <c r="D40" s="12">
        <v>1500</v>
      </c>
      <c r="E40">
        <v>300</v>
      </c>
      <c r="F40">
        <v>39</v>
      </c>
      <c r="G40">
        <v>64</v>
      </c>
      <c r="H40">
        <v>300</v>
      </c>
      <c r="I40">
        <v>393</v>
      </c>
      <c r="J40">
        <v>73</v>
      </c>
      <c r="K40">
        <v>48</v>
      </c>
      <c r="L40">
        <v>-21</v>
      </c>
      <c r="M40" s="6">
        <v>300</v>
      </c>
      <c r="N40" s="6">
        <v>168</v>
      </c>
      <c r="O40" s="1">
        <v>-20.5</v>
      </c>
      <c r="P40">
        <v>9</v>
      </c>
      <c r="Q40" s="1">
        <v>9</v>
      </c>
      <c r="R40" s="1">
        <v>-24.8</v>
      </c>
      <c r="S40">
        <v>70</v>
      </c>
      <c r="T40">
        <v>55</v>
      </c>
      <c r="U40">
        <v>50</v>
      </c>
      <c r="V40">
        <v>2772</v>
      </c>
      <c r="W40">
        <v>9</v>
      </c>
      <c r="X40" t="s">
        <v>20</v>
      </c>
      <c r="Y40">
        <v>0</v>
      </c>
      <c r="Z40">
        <v>2000</v>
      </c>
      <c r="AA40">
        <v>1400</v>
      </c>
      <c r="AB40">
        <v>-1</v>
      </c>
    </row>
    <row r="41" spans="1:28">
      <c r="A41" t="s">
        <v>60</v>
      </c>
      <c r="B41">
        <v>31.8</v>
      </c>
      <c r="C41">
        <v>134</v>
      </c>
      <c r="D41" s="12">
        <v>750</v>
      </c>
      <c r="E41">
        <v>335</v>
      </c>
      <c r="F41">
        <v>12</v>
      </c>
      <c r="G41" t="s">
        <v>40</v>
      </c>
      <c r="H41">
        <v>100</v>
      </c>
      <c r="I41">
        <v>601</v>
      </c>
      <c r="J41">
        <v>48</v>
      </c>
      <c r="K41">
        <v>48</v>
      </c>
      <c r="L41">
        <v>-9</v>
      </c>
      <c r="M41" s="6" t="s">
        <v>40</v>
      </c>
      <c r="N41" s="6" t="s">
        <v>40</v>
      </c>
      <c r="O41" s="1">
        <v>-9.4</v>
      </c>
      <c r="P41">
        <v>-9</v>
      </c>
      <c r="Q41" s="1">
        <v>-9.4</v>
      </c>
      <c r="R41" s="1" t="s">
        <v>40</v>
      </c>
      <c r="S41">
        <v>56</v>
      </c>
      <c r="T41">
        <v>8</v>
      </c>
      <c r="U41">
        <v>17</v>
      </c>
      <c r="V41">
        <v>135</v>
      </c>
      <c r="W41">
        <v>8</v>
      </c>
      <c r="X41" t="s">
        <v>20</v>
      </c>
      <c r="Y41">
        <v>0</v>
      </c>
      <c r="Z41">
        <v>2000</v>
      </c>
      <c r="AA41">
        <v>1400</v>
      </c>
      <c r="AB41">
        <v>-1</v>
      </c>
    </row>
    <row r="42" spans="1:28">
      <c r="A42" t="s">
        <v>61</v>
      </c>
      <c r="B42">
        <v>32.6</v>
      </c>
      <c r="C42">
        <v>135.5</v>
      </c>
      <c r="D42" s="12">
        <v>750</v>
      </c>
      <c r="E42">
        <v>340</v>
      </c>
      <c r="F42">
        <v>15</v>
      </c>
      <c r="G42" t="s">
        <v>40</v>
      </c>
      <c r="H42">
        <v>100</v>
      </c>
      <c r="I42">
        <v>483</v>
      </c>
      <c r="J42">
        <v>42</v>
      </c>
      <c r="K42">
        <v>42</v>
      </c>
      <c r="L42">
        <v>-9</v>
      </c>
      <c r="M42" s="6" t="s">
        <v>40</v>
      </c>
      <c r="N42" s="6" t="s">
        <v>40</v>
      </c>
      <c r="O42" s="1">
        <v>-9</v>
      </c>
      <c r="P42">
        <v>-9</v>
      </c>
      <c r="Q42" s="1">
        <v>-9</v>
      </c>
      <c r="R42" s="1" t="s">
        <v>40</v>
      </c>
      <c r="S42">
        <v>51</v>
      </c>
      <c r="T42">
        <v>9</v>
      </c>
      <c r="U42">
        <v>17</v>
      </c>
      <c r="V42">
        <v>148</v>
      </c>
      <c r="W42">
        <v>7</v>
      </c>
      <c r="X42" t="s">
        <v>20</v>
      </c>
      <c r="Y42">
        <v>0</v>
      </c>
      <c r="Z42">
        <v>2000</v>
      </c>
      <c r="AA42">
        <v>1400</v>
      </c>
      <c r="AB42">
        <v>-1</v>
      </c>
    </row>
    <row r="43" spans="1:28">
      <c r="A43" t="s">
        <v>62</v>
      </c>
      <c r="B43">
        <v>33.1</v>
      </c>
      <c r="C43">
        <v>137</v>
      </c>
      <c r="D43" s="12">
        <v>750</v>
      </c>
      <c r="E43">
        <v>345</v>
      </c>
      <c r="F43">
        <v>19</v>
      </c>
      <c r="G43" t="s">
        <v>40</v>
      </c>
      <c r="H43">
        <v>100</v>
      </c>
      <c r="I43">
        <v>384</v>
      </c>
      <c r="J43">
        <v>37</v>
      </c>
      <c r="K43">
        <v>37</v>
      </c>
      <c r="L43">
        <v>-8</v>
      </c>
      <c r="M43" s="6" t="s">
        <v>40</v>
      </c>
      <c r="N43" s="6" t="s">
        <v>40</v>
      </c>
      <c r="O43" s="1">
        <v>-8.1999999999999993</v>
      </c>
      <c r="P43">
        <v>-8</v>
      </c>
      <c r="Q43" s="1">
        <v>-8.1999999999999993</v>
      </c>
      <c r="R43" s="1" t="s">
        <v>40</v>
      </c>
      <c r="S43">
        <v>45</v>
      </c>
      <c r="T43">
        <v>10</v>
      </c>
      <c r="U43">
        <v>21</v>
      </c>
      <c r="V43">
        <v>202</v>
      </c>
      <c r="W43">
        <v>6</v>
      </c>
      <c r="X43" t="s">
        <v>20</v>
      </c>
      <c r="Y43">
        <v>0</v>
      </c>
      <c r="Z43">
        <v>2000</v>
      </c>
      <c r="AA43">
        <v>1400</v>
      </c>
      <c r="AB43">
        <v>-1</v>
      </c>
    </row>
    <row r="44" spans="1:28">
      <c r="A44" t="s">
        <v>63</v>
      </c>
      <c r="B44">
        <v>8.6</v>
      </c>
      <c r="C44">
        <v>138</v>
      </c>
      <c r="D44" s="7">
        <v>1700</v>
      </c>
      <c r="E44">
        <v>305</v>
      </c>
      <c r="F44">
        <v>75</v>
      </c>
      <c r="G44" t="s">
        <v>40</v>
      </c>
      <c r="H44">
        <v>100</v>
      </c>
      <c r="I44">
        <v>129</v>
      </c>
      <c r="J44">
        <v>3</v>
      </c>
      <c r="K44">
        <v>3</v>
      </c>
      <c r="L44">
        <v>-93</v>
      </c>
      <c r="M44" s="6" t="s">
        <v>40</v>
      </c>
      <c r="N44" s="6" t="s">
        <v>40</v>
      </c>
      <c r="O44" s="3" t="s">
        <v>40</v>
      </c>
      <c r="P44">
        <v>-93</v>
      </c>
      <c r="Q44" s="3" t="s">
        <v>40</v>
      </c>
      <c r="R44" s="4" t="s">
        <v>40</v>
      </c>
      <c r="S44">
        <v>96</v>
      </c>
      <c r="T44">
        <v>2</v>
      </c>
      <c r="U44">
        <v>30</v>
      </c>
      <c r="V44">
        <v>65</v>
      </c>
      <c r="W44">
        <v>2</v>
      </c>
      <c r="X44" t="s">
        <v>44</v>
      </c>
      <c r="Y44">
        <v>1</v>
      </c>
      <c r="Z44" s="12">
        <v>5600</v>
      </c>
      <c r="AA44">
        <v>1700</v>
      </c>
      <c r="AB44">
        <v>0</v>
      </c>
    </row>
    <row r="45" spans="1:28">
      <c r="A45" t="s">
        <v>64</v>
      </c>
      <c r="B45">
        <v>10.8</v>
      </c>
      <c r="C45">
        <v>140.5</v>
      </c>
      <c r="D45" s="7">
        <v>11500</v>
      </c>
      <c r="E45" s="7">
        <v>359</v>
      </c>
      <c r="F45" s="7">
        <v>39</v>
      </c>
      <c r="G45" s="7" t="s">
        <v>40</v>
      </c>
      <c r="H45" s="7">
        <v>350</v>
      </c>
      <c r="I45" s="7">
        <v>470</v>
      </c>
      <c r="J45" s="7">
        <v>8</v>
      </c>
      <c r="K45" s="7">
        <v>8</v>
      </c>
      <c r="L45" s="7">
        <v>-38</v>
      </c>
      <c r="M45" s="7" t="s">
        <v>40</v>
      </c>
      <c r="N45" s="7" t="s">
        <v>40</v>
      </c>
      <c r="O45" s="7">
        <v>-30.3</v>
      </c>
      <c r="P45" s="7">
        <v>-38</v>
      </c>
      <c r="Q45" s="7">
        <v>-30.3</v>
      </c>
      <c r="R45" s="7" t="s">
        <v>40</v>
      </c>
      <c r="S45" s="7">
        <v>46</v>
      </c>
      <c r="T45" s="7">
        <v>6</v>
      </c>
      <c r="U45" s="7">
        <v>155</v>
      </c>
      <c r="V45" s="7">
        <v>946</v>
      </c>
      <c r="W45" s="7">
        <v>19</v>
      </c>
      <c r="X45" s="7" t="s">
        <v>44</v>
      </c>
      <c r="Y45" s="7">
        <v>1</v>
      </c>
      <c r="Z45" s="7">
        <v>5600</v>
      </c>
      <c r="AA45" s="7">
        <v>11500</v>
      </c>
      <c r="AB45">
        <v>1</v>
      </c>
    </row>
    <row r="46" spans="1:28">
      <c r="A46" t="s">
        <v>65</v>
      </c>
      <c r="B46">
        <v>11.4</v>
      </c>
      <c r="C46">
        <v>142.5</v>
      </c>
      <c r="D46" s="7">
        <v>11500</v>
      </c>
      <c r="E46">
        <v>350</v>
      </c>
      <c r="F46">
        <v>43</v>
      </c>
      <c r="G46">
        <v>64</v>
      </c>
      <c r="H46">
        <v>400</v>
      </c>
      <c r="I46">
        <v>489</v>
      </c>
      <c r="J46">
        <v>15</v>
      </c>
      <c r="K46">
        <v>15</v>
      </c>
      <c r="L46">
        <v>-47</v>
      </c>
      <c r="M46" s="6" t="s">
        <v>40</v>
      </c>
      <c r="N46" s="6" t="s">
        <v>40</v>
      </c>
      <c r="O46" s="1">
        <v>-41.4</v>
      </c>
      <c r="P46">
        <v>-47</v>
      </c>
      <c r="Q46" s="1">
        <v>-41.4</v>
      </c>
      <c r="R46" s="1" t="s">
        <v>40</v>
      </c>
      <c r="S46">
        <v>62</v>
      </c>
      <c r="T46">
        <v>13</v>
      </c>
      <c r="U46">
        <v>155</v>
      </c>
      <c r="V46">
        <v>1939</v>
      </c>
      <c r="W46">
        <v>20</v>
      </c>
      <c r="X46" t="s">
        <v>44</v>
      </c>
      <c r="Y46">
        <v>1</v>
      </c>
      <c r="Z46" s="13">
        <v>5600</v>
      </c>
      <c r="AA46" s="7">
        <v>11500</v>
      </c>
      <c r="AB46">
        <v>1</v>
      </c>
    </row>
    <row r="47" spans="1:28">
      <c r="A47" t="s">
        <v>66</v>
      </c>
      <c r="B47">
        <v>12</v>
      </c>
      <c r="C47">
        <v>144.5</v>
      </c>
      <c r="D47" s="7">
        <v>11500</v>
      </c>
      <c r="E47">
        <v>336</v>
      </c>
      <c r="F47">
        <v>46</v>
      </c>
      <c r="G47">
        <v>73</v>
      </c>
      <c r="H47">
        <v>500</v>
      </c>
      <c r="I47">
        <v>566</v>
      </c>
      <c r="J47">
        <v>56</v>
      </c>
      <c r="K47">
        <v>23</v>
      </c>
      <c r="L47">
        <v>-62</v>
      </c>
      <c r="M47" s="6">
        <v>335.9</v>
      </c>
      <c r="N47" s="6">
        <v>106</v>
      </c>
      <c r="O47" s="1">
        <v>-58</v>
      </c>
      <c r="P47">
        <v>-31</v>
      </c>
      <c r="Q47" s="1">
        <v>-25.3</v>
      </c>
      <c r="R47" s="1">
        <v>-33.299999999999997</v>
      </c>
      <c r="S47">
        <v>86</v>
      </c>
      <c r="T47">
        <v>50</v>
      </c>
      <c r="U47">
        <v>156</v>
      </c>
      <c r="V47">
        <v>7732</v>
      </c>
      <c r="W47">
        <v>23</v>
      </c>
      <c r="X47" t="s">
        <v>44</v>
      </c>
      <c r="Y47">
        <v>0</v>
      </c>
      <c r="Z47" s="13">
        <v>5600</v>
      </c>
      <c r="AA47" s="7">
        <v>11500</v>
      </c>
      <c r="AB47">
        <v>1</v>
      </c>
    </row>
    <row r="48" spans="1:28">
      <c r="A48" t="s">
        <v>67</v>
      </c>
      <c r="B48">
        <v>13.3</v>
      </c>
      <c r="C48">
        <v>146.5</v>
      </c>
      <c r="D48" s="7">
        <v>11500</v>
      </c>
      <c r="E48">
        <v>314</v>
      </c>
      <c r="F48">
        <v>40</v>
      </c>
      <c r="G48">
        <v>74</v>
      </c>
      <c r="H48">
        <v>900</v>
      </c>
      <c r="I48">
        <v>761</v>
      </c>
      <c r="J48">
        <v>65</v>
      </c>
      <c r="K48">
        <v>31</v>
      </c>
      <c r="L48">
        <v>-80</v>
      </c>
      <c r="M48" s="6">
        <v>314.39999999999998</v>
      </c>
      <c r="N48" s="6">
        <v>237</v>
      </c>
      <c r="O48" s="1">
        <v>-75.8</v>
      </c>
      <c r="P48">
        <v>-44</v>
      </c>
      <c r="Q48" s="1">
        <v>-37.299999999999997</v>
      </c>
      <c r="R48" s="1">
        <v>-38</v>
      </c>
      <c r="S48">
        <v>110</v>
      </c>
      <c r="T48">
        <v>57</v>
      </c>
      <c r="U48">
        <v>156</v>
      </c>
      <c r="V48">
        <v>8926</v>
      </c>
      <c r="W48">
        <v>31</v>
      </c>
      <c r="X48" t="s">
        <v>44</v>
      </c>
      <c r="Y48">
        <v>0</v>
      </c>
      <c r="Z48" s="13">
        <v>5600</v>
      </c>
      <c r="AA48" s="7">
        <v>11500</v>
      </c>
      <c r="AB48">
        <v>1</v>
      </c>
    </row>
    <row r="49" spans="1:28">
      <c r="A49" t="s">
        <v>68</v>
      </c>
      <c r="B49">
        <v>15</v>
      </c>
      <c r="C49">
        <v>147.5</v>
      </c>
      <c r="D49" s="7">
        <v>11500</v>
      </c>
      <c r="E49">
        <v>289</v>
      </c>
      <c r="F49">
        <v>35</v>
      </c>
      <c r="G49">
        <v>84</v>
      </c>
      <c r="H49">
        <v>900</v>
      </c>
      <c r="I49">
        <v>766</v>
      </c>
      <c r="J49">
        <v>69</v>
      </c>
      <c r="K49">
        <v>32</v>
      </c>
      <c r="L49">
        <v>-86</v>
      </c>
      <c r="M49" s="6">
        <v>289.2</v>
      </c>
      <c r="N49" s="6">
        <v>130</v>
      </c>
      <c r="O49" s="1">
        <v>-83.7</v>
      </c>
      <c r="P49">
        <v>-48</v>
      </c>
      <c r="Q49" s="1">
        <v>-49.9</v>
      </c>
      <c r="R49" s="1">
        <v>-34.4</v>
      </c>
      <c r="S49">
        <v>118</v>
      </c>
      <c r="T49">
        <v>60</v>
      </c>
      <c r="U49">
        <v>153</v>
      </c>
      <c r="V49">
        <v>9260</v>
      </c>
      <c r="W49">
        <v>31</v>
      </c>
      <c r="X49" t="s">
        <v>44</v>
      </c>
      <c r="Y49">
        <v>0</v>
      </c>
      <c r="Z49" s="13">
        <v>5600</v>
      </c>
      <c r="AA49" s="7">
        <v>11500</v>
      </c>
      <c r="AB49">
        <v>1</v>
      </c>
    </row>
    <row r="50" spans="1:28">
      <c r="A50" t="s">
        <v>69</v>
      </c>
      <c r="B50">
        <v>17</v>
      </c>
      <c r="C50">
        <v>147.80000000000001</v>
      </c>
      <c r="D50" s="7">
        <v>11500</v>
      </c>
      <c r="E50">
        <v>271</v>
      </c>
      <c r="F50">
        <v>34</v>
      </c>
      <c r="G50">
        <v>86</v>
      </c>
      <c r="H50">
        <v>900</v>
      </c>
      <c r="I50">
        <v>770</v>
      </c>
      <c r="J50">
        <v>59</v>
      </c>
      <c r="K50">
        <v>31</v>
      </c>
      <c r="L50">
        <v>-78</v>
      </c>
      <c r="M50" s="6">
        <v>271</v>
      </c>
      <c r="N50" s="6">
        <v>102</v>
      </c>
      <c r="O50" s="1">
        <v>-76.900000000000006</v>
      </c>
      <c r="P50">
        <v>-46</v>
      </c>
      <c r="Q50" s="1">
        <v>-43.3</v>
      </c>
      <c r="R50" s="1">
        <v>-35.299999999999997</v>
      </c>
      <c r="S50">
        <v>109</v>
      </c>
      <c r="T50">
        <v>51</v>
      </c>
      <c r="U50">
        <v>150</v>
      </c>
      <c r="V50">
        <v>7681</v>
      </c>
      <c r="W50">
        <v>31</v>
      </c>
      <c r="X50" t="s">
        <v>44</v>
      </c>
      <c r="Y50">
        <v>0</v>
      </c>
      <c r="Z50" s="13">
        <v>5600</v>
      </c>
      <c r="AA50" s="7">
        <v>11500</v>
      </c>
      <c r="AB50">
        <v>1</v>
      </c>
    </row>
    <row r="51" spans="1:28">
      <c r="A51" t="s">
        <v>70</v>
      </c>
      <c r="B51">
        <v>19</v>
      </c>
      <c r="C51">
        <v>147.6</v>
      </c>
      <c r="D51" s="7">
        <v>11500</v>
      </c>
      <c r="E51">
        <v>260</v>
      </c>
      <c r="F51">
        <v>35</v>
      </c>
      <c r="G51">
        <v>86</v>
      </c>
      <c r="H51">
        <v>900</v>
      </c>
      <c r="I51">
        <v>764</v>
      </c>
      <c r="J51">
        <v>46</v>
      </c>
      <c r="K51">
        <v>30</v>
      </c>
      <c r="L51">
        <v>-68</v>
      </c>
      <c r="M51" s="6">
        <v>260</v>
      </c>
      <c r="N51" s="6">
        <v>154</v>
      </c>
      <c r="O51" s="1">
        <v>-69.8</v>
      </c>
      <c r="P51">
        <v>-57</v>
      </c>
      <c r="Q51" s="1">
        <v>-37.5</v>
      </c>
      <c r="R51" s="1">
        <v>-32</v>
      </c>
      <c r="S51">
        <v>98</v>
      </c>
      <c r="T51">
        <v>40</v>
      </c>
      <c r="U51">
        <v>148</v>
      </c>
      <c r="V51">
        <v>5896</v>
      </c>
      <c r="W51">
        <v>31</v>
      </c>
      <c r="X51" t="s">
        <v>44</v>
      </c>
      <c r="Y51">
        <v>0</v>
      </c>
      <c r="Z51" s="13">
        <v>5600</v>
      </c>
      <c r="AA51" s="7">
        <v>11500</v>
      </c>
      <c r="AB51">
        <v>1</v>
      </c>
    </row>
    <row r="52" spans="1:28">
      <c r="A52" t="s">
        <v>71</v>
      </c>
      <c r="B52">
        <v>21</v>
      </c>
      <c r="C52">
        <v>146.9</v>
      </c>
      <c r="D52" s="7">
        <v>11500</v>
      </c>
      <c r="E52">
        <v>235</v>
      </c>
      <c r="F52">
        <v>36</v>
      </c>
      <c r="G52">
        <v>84</v>
      </c>
      <c r="H52">
        <v>900</v>
      </c>
      <c r="I52">
        <v>761</v>
      </c>
      <c r="J52">
        <v>31</v>
      </c>
      <c r="K52">
        <v>20</v>
      </c>
      <c r="L52">
        <v>-41</v>
      </c>
      <c r="M52" s="6">
        <v>235</v>
      </c>
      <c r="N52" s="6">
        <v>179</v>
      </c>
      <c r="O52" s="1">
        <v>-45.6</v>
      </c>
      <c r="P52">
        <v>-34</v>
      </c>
      <c r="Q52" s="1">
        <v>-29.6</v>
      </c>
      <c r="R52" s="1">
        <v>-14.8</v>
      </c>
      <c r="S52">
        <v>61</v>
      </c>
      <c r="T52">
        <v>27</v>
      </c>
      <c r="U52">
        <v>147</v>
      </c>
      <c r="V52">
        <v>3964</v>
      </c>
      <c r="W52">
        <v>30</v>
      </c>
      <c r="X52" t="s">
        <v>44</v>
      </c>
      <c r="Y52">
        <v>0</v>
      </c>
      <c r="Z52" s="13">
        <v>5600</v>
      </c>
      <c r="AA52" s="7">
        <v>11500</v>
      </c>
      <c r="AB52">
        <v>1</v>
      </c>
    </row>
    <row r="53" spans="1:28">
      <c r="A53" t="s">
        <v>72</v>
      </c>
      <c r="B53">
        <v>23</v>
      </c>
      <c r="C53">
        <v>145.1</v>
      </c>
      <c r="D53" s="7">
        <v>11500</v>
      </c>
      <c r="E53">
        <v>225</v>
      </c>
      <c r="F53">
        <v>40</v>
      </c>
      <c r="G53">
        <v>72</v>
      </c>
      <c r="H53">
        <v>900</v>
      </c>
      <c r="I53">
        <v>768</v>
      </c>
      <c r="J53">
        <v>18</v>
      </c>
      <c r="K53">
        <v>17</v>
      </c>
      <c r="L53">
        <v>-27</v>
      </c>
      <c r="M53" s="6">
        <v>253.3</v>
      </c>
      <c r="N53" s="6">
        <v>208</v>
      </c>
      <c r="O53" s="1">
        <v>-31.4</v>
      </c>
      <c r="P53">
        <v>-27</v>
      </c>
      <c r="Q53" s="1">
        <v>-27.3</v>
      </c>
      <c r="R53" s="1">
        <v>-2.8</v>
      </c>
      <c r="S53">
        <v>44</v>
      </c>
      <c r="T53">
        <v>15</v>
      </c>
      <c r="U53">
        <v>145</v>
      </c>
      <c r="V53">
        <v>2220</v>
      </c>
      <c r="W53">
        <v>30</v>
      </c>
      <c r="X53" t="s">
        <v>44</v>
      </c>
      <c r="Y53">
        <v>0</v>
      </c>
      <c r="Z53" s="13">
        <v>5600</v>
      </c>
      <c r="AA53" s="7">
        <v>11500</v>
      </c>
      <c r="AB53">
        <v>1</v>
      </c>
    </row>
    <row r="54" spans="1:28">
      <c r="A54" t="s">
        <v>73</v>
      </c>
      <c r="B54">
        <v>27</v>
      </c>
      <c r="C54">
        <v>143.30000000000001</v>
      </c>
      <c r="D54" s="7">
        <v>11500</v>
      </c>
      <c r="E54">
        <v>272</v>
      </c>
      <c r="F54">
        <v>35</v>
      </c>
      <c r="G54">
        <v>74</v>
      </c>
      <c r="H54">
        <v>670</v>
      </c>
      <c r="I54">
        <v>785</v>
      </c>
      <c r="J54">
        <v>49</v>
      </c>
      <c r="K54">
        <v>49</v>
      </c>
      <c r="L54">
        <v>-60</v>
      </c>
      <c r="M54" s="6">
        <v>272</v>
      </c>
      <c r="N54" s="6">
        <v>116</v>
      </c>
      <c r="O54" s="1">
        <v>-60.7</v>
      </c>
      <c r="P54">
        <v>-60</v>
      </c>
      <c r="Q54" s="1">
        <v>-60.7</v>
      </c>
      <c r="R54" s="1" t="s">
        <v>40</v>
      </c>
      <c r="S54">
        <v>109</v>
      </c>
      <c r="T54">
        <v>41</v>
      </c>
      <c r="U54">
        <v>148</v>
      </c>
      <c r="V54">
        <v>6127</v>
      </c>
      <c r="W54">
        <v>31</v>
      </c>
      <c r="X54" t="s">
        <v>44</v>
      </c>
      <c r="Y54">
        <v>0</v>
      </c>
      <c r="Z54" s="13">
        <v>5600</v>
      </c>
      <c r="AA54" s="7">
        <v>11500</v>
      </c>
      <c r="AB54">
        <v>1</v>
      </c>
    </row>
    <row r="55" spans="1:28">
      <c r="A55" t="s">
        <v>74</v>
      </c>
      <c r="B55">
        <v>29</v>
      </c>
      <c r="C55">
        <v>142.9</v>
      </c>
      <c r="D55" s="7">
        <v>11500</v>
      </c>
      <c r="E55">
        <v>252</v>
      </c>
      <c r="F55">
        <v>33</v>
      </c>
      <c r="G55">
        <v>71</v>
      </c>
      <c r="H55">
        <v>670</v>
      </c>
      <c r="I55">
        <v>806</v>
      </c>
      <c r="J55">
        <v>45</v>
      </c>
      <c r="K55">
        <v>45</v>
      </c>
      <c r="L55">
        <v>-43</v>
      </c>
      <c r="M55" s="6">
        <v>252.3</v>
      </c>
      <c r="N55" s="6">
        <v>167</v>
      </c>
      <c r="O55" s="1">
        <v>-45.6</v>
      </c>
      <c r="P55">
        <v>-43</v>
      </c>
      <c r="Q55" s="1">
        <v>-45.6</v>
      </c>
      <c r="R55" s="1" t="s">
        <v>40</v>
      </c>
      <c r="S55">
        <v>88</v>
      </c>
      <c r="T55">
        <v>37</v>
      </c>
      <c r="U55">
        <v>141</v>
      </c>
      <c r="V55">
        <v>5287</v>
      </c>
      <c r="W55">
        <v>32</v>
      </c>
      <c r="X55" t="s">
        <v>44</v>
      </c>
      <c r="Y55">
        <v>0</v>
      </c>
      <c r="Z55" s="13">
        <v>5600</v>
      </c>
      <c r="AA55" s="7">
        <v>11500</v>
      </c>
      <c r="AB55">
        <v>1</v>
      </c>
    </row>
    <row r="56" spans="1:28">
      <c r="A56" t="s">
        <v>75</v>
      </c>
      <c r="B56">
        <v>31</v>
      </c>
      <c r="C56">
        <v>142.30000000000001</v>
      </c>
      <c r="D56" s="7">
        <v>11500</v>
      </c>
      <c r="E56">
        <v>258</v>
      </c>
      <c r="F56">
        <v>31</v>
      </c>
      <c r="G56">
        <v>61</v>
      </c>
      <c r="H56">
        <v>670</v>
      </c>
      <c r="I56">
        <v>866</v>
      </c>
      <c r="J56">
        <v>51</v>
      </c>
      <c r="K56">
        <v>51</v>
      </c>
      <c r="L56">
        <v>-44</v>
      </c>
      <c r="M56" s="6">
        <v>258</v>
      </c>
      <c r="N56" s="6">
        <v>209</v>
      </c>
      <c r="O56" s="1">
        <v>-45.9</v>
      </c>
      <c r="P56">
        <v>-44</v>
      </c>
      <c r="Q56" s="1">
        <v>-45.9</v>
      </c>
      <c r="R56" s="1" t="s">
        <v>40</v>
      </c>
      <c r="S56">
        <v>95</v>
      </c>
      <c r="T56">
        <v>40</v>
      </c>
      <c r="U56">
        <v>135</v>
      </c>
      <c r="V56">
        <v>5349</v>
      </c>
      <c r="W56">
        <v>33</v>
      </c>
      <c r="X56" t="s">
        <v>44</v>
      </c>
      <c r="Y56">
        <v>0</v>
      </c>
      <c r="Z56" s="13">
        <v>5600</v>
      </c>
      <c r="AA56" s="7">
        <v>11500</v>
      </c>
      <c r="AB56">
        <v>1</v>
      </c>
    </row>
    <row r="57" spans="1:28">
      <c r="A57" t="s">
        <v>76</v>
      </c>
      <c r="B57">
        <v>33</v>
      </c>
      <c r="C57">
        <v>142.1</v>
      </c>
      <c r="D57" s="7">
        <v>11500</v>
      </c>
      <c r="E57">
        <v>261</v>
      </c>
      <c r="F57">
        <v>29</v>
      </c>
      <c r="G57">
        <v>50</v>
      </c>
      <c r="H57">
        <v>670</v>
      </c>
      <c r="I57">
        <v>969</v>
      </c>
      <c r="J57">
        <v>55</v>
      </c>
      <c r="K57">
        <v>55</v>
      </c>
      <c r="L57">
        <v>-42</v>
      </c>
      <c r="M57" s="6">
        <v>260.89999999999998</v>
      </c>
      <c r="N57" s="6">
        <v>200</v>
      </c>
      <c r="O57" s="1">
        <v>-44.1</v>
      </c>
      <c r="P57">
        <v>-42</v>
      </c>
      <c r="Q57" s="1">
        <v>-44.1</v>
      </c>
      <c r="R57" s="1" t="s">
        <v>40</v>
      </c>
      <c r="S57">
        <v>97</v>
      </c>
      <c r="T57">
        <v>38</v>
      </c>
      <c r="U57">
        <v>129</v>
      </c>
      <c r="V57">
        <v>4940</v>
      </c>
      <c r="W57">
        <v>36</v>
      </c>
      <c r="X57" t="s">
        <v>44</v>
      </c>
      <c r="Y57">
        <v>0</v>
      </c>
      <c r="Z57" s="13">
        <v>5600</v>
      </c>
      <c r="AA57" s="7">
        <v>11500</v>
      </c>
      <c r="AB57">
        <v>1</v>
      </c>
    </row>
    <row r="58" spans="1:28">
      <c r="A58" t="s">
        <v>77</v>
      </c>
      <c r="B58">
        <v>35</v>
      </c>
      <c r="C58">
        <v>142.19999999999999</v>
      </c>
      <c r="D58" s="7">
        <v>11500</v>
      </c>
      <c r="E58">
        <v>297</v>
      </c>
      <c r="F58">
        <v>26</v>
      </c>
      <c r="G58">
        <v>31</v>
      </c>
      <c r="H58">
        <v>670</v>
      </c>
      <c r="I58">
        <v>1343</v>
      </c>
      <c r="J58">
        <v>93</v>
      </c>
      <c r="K58">
        <v>101</v>
      </c>
      <c r="L58">
        <v>-12</v>
      </c>
      <c r="M58" s="6">
        <v>297.10000000000002</v>
      </c>
      <c r="N58" s="6">
        <v>188</v>
      </c>
      <c r="O58" s="1">
        <v>-11.9</v>
      </c>
      <c r="P58">
        <v>-21</v>
      </c>
      <c r="Q58" s="1">
        <v>-21.2</v>
      </c>
      <c r="R58" s="1">
        <v>7.7</v>
      </c>
      <c r="S58">
        <v>114</v>
      </c>
      <c r="T58">
        <v>46</v>
      </c>
      <c r="U58">
        <v>127</v>
      </c>
      <c r="V58">
        <v>5891</v>
      </c>
      <c r="W58">
        <v>50</v>
      </c>
      <c r="X58" t="s">
        <v>20</v>
      </c>
      <c r="Y58">
        <v>0</v>
      </c>
      <c r="Z58" s="13">
        <v>5600</v>
      </c>
      <c r="AA58" s="7">
        <v>11500</v>
      </c>
      <c r="AB58">
        <v>0</v>
      </c>
    </row>
    <row r="59" spans="1:28">
      <c r="A59" t="s">
        <v>78</v>
      </c>
      <c r="B59">
        <v>37</v>
      </c>
      <c r="C59">
        <v>143.5</v>
      </c>
      <c r="D59" s="7">
        <v>11500</v>
      </c>
      <c r="E59">
        <v>299</v>
      </c>
      <c r="F59">
        <v>24</v>
      </c>
      <c r="G59">
        <v>30</v>
      </c>
      <c r="H59">
        <v>670</v>
      </c>
      <c r="I59">
        <v>1397</v>
      </c>
      <c r="J59">
        <v>92</v>
      </c>
      <c r="K59">
        <v>101</v>
      </c>
      <c r="L59">
        <v>-12</v>
      </c>
      <c r="M59" s="6">
        <v>298.89999999999998</v>
      </c>
      <c r="N59" s="6">
        <v>319</v>
      </c>
      <c r="O59" s="1">
        <v>-11.9</v>
      </c>
      <c r="P59">
        <v>-20</v>
      </c>
      <c r="Q59" s="1">
        <v>-20</v>
      </c>
      <c r="R59" s="1">
        <v>8.6999999999999993</v>
      </c>
      <c r="S59">
        <v>112</v>
      </c>
      <c r="T59">
        <v>44</v>
      </c>
      <c r="U59">
        <v>132</v>
      </c>
      <c r="V59">
        <v>5817</v>
      </c>
      <c r="W59">
        <v>53</v>
      </c>
      <c r="X59" t="s">
        <v>20</v>
      </c>
      <c r="Y59">
        <v>0</v>
      </c>
      <c r="Z59" s="13">
        <v>5600</v>
      </c>
      <c r="AA59" s="7">
        <v>11500</v>
      </c>
      <c r="AB59">
        <v>0</v>
      </c>
    </row>
    <row r="60" spans="1:28">
      <c r="A60" t="s">
        <v>79</v>
      </c>
      <c r="B60">
        <v>39</v>
      </c>
      <c r="C60">
        <v>144.19999999999999</v>
      </c>
      <c r="D60" s="7">
        <v>11500</v>
      </c>
      <c r="E60">
        <v>277</v>
      </c>
      <c r="F60">
        <v>23</v>
      </c>
      <c r="G60">
        <v>29</v>
      </c>
      <c r="H60">
        <v>670</v>
      </c>
      <c r="I60">
        <v>1444</v>
      </c>
      <c r="J60">
        <v>86</v>
      </c>
      <c r="K60">
        <v>96</v>
      </c>
      <c r="L60">
        <v>-11</v>
      </c>
      <c r="M60" s="6">
        <v>276.60000000000002</v>
      </c>
      <c r="N60" s="6">
        <v>286</v>
      </c>
      <c r="O60" s="1">
        <v>-10.7</v>
      </c>
      <c r="P60">
        <v>-20</v>
      </c>
      <c r="Q60" s="1">
        <v>-20</v>
      </c>
      <c r="R60" s="1">
        <v>9.6</v>
      </c>
      <c r="S60">
        <v>106</v>
      </c>
      <c r="T60">
        <v>40</v>
      </c>
      <c r="U60">
        <v>131</v>
      </c>
      <c r="V60">
        <v>5239</v>
      </c>
      <c r="W60">
        <v>54</v>
      </c>
      <c r="X60" t="s">
        <v>20</v>
      </c>
      <c r="Y60">
        <v>0</v>
      </c>
      <c r="Z60" s="13">
        <v>5600</v>
      </c>
      <c r="AA60" s="7">
        <v>11500</v>
      </c>
      <c r="AB60">
        <v>0</v>
      </c>
    </row>
    <row r="61" spans="1:28">
      <c r="A61" t="s">
        <v>80</v>
      </c>
      <c r="B61">
        <v>40.5</v>
      </c>
      <c r="C61">
        <v>144.5</v>
      </c>
      <c r="D61" s="7">
        <v>11500</v>
      </c>
      <c r="E61">
        <v>292</v>
      </c>
      <c r="F61">
        <v>19</v>
      </c>
      <c r="G61">
        <v>25</v>
      </c>
      <c r="H61">
        <v>670</v>
      </c>
      <c r="I61">
        <v>1674</v>
      </c>
      <c r="J61">
        <v>90</v>
      </c>
      <c r="K61">
        <v>99</v>
      </c>
      <c r="L61">
        <v>-11</v>
      </c>
      <c r="M61" s="6">
        <v>291.89999999999998</v>
      </c>
      <c r="N61" s="6">
        <v>231</v>
      </c>
      <c r="O61" s="1">
        <v>-11</v>
      </c>
      <c r="P61">
        <v>-20</v>
      </c>
      <c r="Q61" s="1">
        <v>-19.600000000000001</v>
      </c>
      <c r="R61" s="1">
        <v>8.6</v>
      </c>
      <c r="S61">
        <v>110</v>
      </c>
      <c r="T61">
        <v>36</v>
      </c>
      <c r="U61">
        <v>128</v>
      </c>
      <c r="V61">
        <v>4627</v>
      </c>
      <c r="W61">
        <v>62</v>
      </c>
      <c r="X61" t="s">
        <v>20</v>
      </c>
      <c r="Y61">
        <v>0</v>
      </c>
      <c r="Z61" s="13">
        <v>5600</v>
      </c>
      <c r="AA61" s="7">
        <v>11500</v>
      </c>
      <c r="AB61">
        <v>0</v>
      </c>
    </row>
    <row r="62" spans="1:28">
      <c r="A62" t="s">
        <v>81</v>
      </c>
      <c r="B62">
        <v>41.5</v>
      </c>
      <c r="C62">
        <v>145.5</v>
      </c>
      <c r="D62" s="7">
        <v>11500</v>
      </c>
      <c r="E62">
        <v>319</v>
      </c>
      <c r="F62">
        <v>24</v>
      </c>
      <c r="G62">
        <v>32</v>
      </c>
      <c r="H62">
        <v>670</v>
      </c>
      <c r="I62">
        <v>1336</v>
      </c>
      <c r="J62">
        <v>77</v>
      </c>
      <c r="K62">
        <v>77</v>
      </c>
      <c r="L62">
        <v>-23</v>
      </c>
      <c r="M62" s="6">
        <v>218.5</v>
      </c>
      <c r="N62" s="6">
        <v>254</v>
      </c>
      <c r="O62" s="1">
        <v>-23.9</v>
      </c>
      <c r="P62">
        <v>-23</v>
      </c>
      <c r="Q62" s="1">
        <v>-23.9</v>
      </c>
      <c r="R62" s="1" t="s">
        <v>40</v>
      </c>
      <c r="S62">
        <v>100</v>
      </c>
      <c r="T62">
        <v>38</v>
      </c>
      <c r="U62">
        <v>128</v>
      </c>
      <c r="V62">
        <v>4911</v>
      </c>
      <c r="W62">
        <v>50</v>
      </c>
      <c r="X62" t="s">
        <v>20</v>
      </c>
      <c r="Y62">
        <v>0</v>
      </c>
      <c r="Z62" s="13">
        <v>5600</v>
      </c>
      <c r="AA62" s="7">
        <v>11500</v>
      </c>
      <c r="AB62">
        <v>0</v>
      </c>
    </row>
    <row r="63" spans="1:28">
      <c r="A63" t="s">
        <v>82</v>
      </c>
      <c r="B63">
        <v>42.2</v>
      </c>
      <c r="C63">
        <v>147</v>
      </c>
      <c r="D63" s="7">
        <v>11500</v>
      </c>
      <c r="E63">
        <v>324</v>
      </c>
      <c r="F63">
        <v>27</v>
      </c>
      <c r="G63">
        <v>33</v>
      </c>
      <c r="H63">
        <v>670</v>
      </c>
      <c r="I63">
        <v>1276</v>
      </c>
      <c r="J63">
        <v>74</v>
      </c>
      <c r="K63">
        <v>74</v>
      </c>
      <c r="L63">
        <v>-22</v>
      </c>
      <c r="M63" s="6">
        <v>324</v>
      </c>
      <c r="N63" s="6">
        <v>169</v>
      </c>
      <c r="O63" s="1">
        <v>-21.9</v>
      </c>
      <c r="P63">
        <v>-22</v>
      </c>
      <c r="Q63" s="1">
        <v>-21.9</v>
      </c>
      <c r="R63" s="1" t="s">
        <v>40</v>
      </c>
      <c r="S63">
        <v>95</v>
      </c>
      <c r="T63">
        <v>39</v>
      </c>
      <c r="U63">
        <v>120</v>
      </c>
      <c r="V63">
        <v>4656</v>
      </c>
      <c r="W63">
        <v>46</v>
      </c>
      <c r="X63" t="s">
        <v>20</v>
      </c>
      <c r="Y63">
        <v>0</v>
      </c>
      <c r="Z63" s="13">
        <v>5600</v>
      </c>
      <c r="AA63" s="7">
        <v>11500</v>
      </c>
      <c r="AB63">
        <v>0</v>
      </c>
    </row>
    <row r="64" spans="1:28">
      <c r="A64" t="s">
        <v>83</v>
      </c>
      <c r="B64">
        <v>43.5</v>
      </c>
      <c r="C64">
        <v>149</v>
      </c>
      <c r="D64" s="7">
        <v>11500</v>
      </c>
      <c r="E64">
        <v>319</v>
      </c>
      <c r="F64">
        <v>30</v>
      </c>
      <c r="G64">
        <v>40</v>
      </c>
      <c r="H64">
        <v>670</v>
      </c>
      <c r="I64">
        <v>1098</v>
      </c>
      <c r="J64">
        <v>76</v>
      </c>
      <c r="K64">
        <v>76</v>
      </c>
      <c r="L64">
        <v>-22</v>
      </c>
      <c r="M64" s="6">
        <v>318.89999999999998</v>
      </c>
      <c r="N64" s="6">
        <v>155</v>
      </c>
      <c r="O64" s="1">
        <v>-22.3</v>
      </c>
      <c r="P64">
        <v>-22</v>
      </c>
      <c r="Q64" s="1">
        <v>-22.3</v>
      </c>
      <c r="R64" s="1" t="s">
        <v>40</v>
      </c>
      <c r="S64">
        <v>99</v>
      </c>
      <c r="T64">
        <v>47</v>
      </c>
      <c r="U64">
        <v>118</v>
      </c>
      <c r="V64">
        <v>5502</v>
      </c>
      <c r="W64">
        <v>39</v>
      </c>
      <c r="X64" t="s">
        <v>20</v>
      </c>
      <c r="Y64">
        <v>0</v>
      </c>
      <c r="Z64" s="13">
        <v>5600</v>
      </c>
      <c r="AA64" s="7">
        <v>11500</v>
      </c>
      <c r="AB64">
        <v>0</v>
      </c>
    </row>
    <row r="65" spans="1:28">
      <c r="A65" t="s">
        <v>84</v>
      </c>
      <c r="B65">
        <v>44.4</v>
      </c>
      <c r="C65">
        <v>151</v>
      </c>
      <c r="D65" s="7">
        <v>11500</v>
      </c>
      <c r="E65">
        <v>329</v>
      </c>
      <c r="F65">
        <v>31</v>
      </c>
      <c r="G65">
        <v>44</v>
      </c>
      <c r="H65">
        <v>670</v>
      </c>
      <c r="I65">
        <v>1027</v>
      </c>
      <c r="J65">
        <v>71</v>
      </c>
      <c r="K65">
        <v>71</v>
      </c>
      <c r="L65">
        <v>-19</v>
      </c>
      <c r="M65" s="6">
        <v>329.4</v>
      </c>
      <c r="N65" s="6">
        <v>161</v>
      </c>
      <c r="O65" s="1">
        <v>-18.8</v>
      </c>
      <c r="P65">
        <v>-19</v>
      </c>
      <c r="Q65" s="1">
        <v>-18.8</v>
      </c>
      <c r="R65" s="1" t="s">
        <v>40</v>
      </c>
      <c r="S65">
        <v>90</v>
      </c>
      <c r="T65">
        <v>46</v>
      </c>
      <c r="U65">
        <v>118</v>
      </c>
      <c r="V65">
        <v>5472</v>
      </c>
      <c r="W65">
        <v>37</v>
      </c>
      <c r="X65" t="s">
        <v>20</v>
      </c>
      <c r="Y65">
        <v>0</v>
      </c>
      <c r="Z65" s="13">
        <v>5600</v>
      </c>
      <c r="AA65" s="7">
        <v>11500</v>
      </c>
      <c r="AB65">
        <v>0</v>
      </c>
    </row>
    <row r="66" spans="1:28">
      <c r="A66" t="s">
        <v>85</v>
      </c>
      <c r="B66">
        <v>45.3</v>
      </c>
      <c r="C66">
        <v>153</v>
      </c>
      <c r="D66" s="7">
        <v>11500</v>
      </c>
      <c r="E66">
        <v>318</v>
      </c>
      <c r="F66">
        <v>33</v>
      </c>
      <c r="G66">
        <v>47</v>
      </c>
      <c r="H66">
        <v>670</v>
      </c>
      <c r="I66">
        <v>975</v>
      </c>
      <c r="J66">
        <v>77</v>
      </c>
      <c r="K66">
        <v>77</v>
      </c>
      <c r="L66">
        <v>-21</v>
      </c>
      <c r="M66" s="6">
        <v>318.3</v>
      </c>
      <c r="N66" s="6">
        <v>178</v>
      </c>
      <c r="O66" s="1">
        <v>-20.7</v>
      </c>
      <c r="P66">
        <v>-21</v>
      </c>
      <c r="Q66" s="1">
        <v>-20.7</v>
      </c>
      <c r="R66" s="1" t="s">
        <v>40</v>
      </c>
      <c r="S66">
        <v>98</v>
      </c>
      <c r="T66">
        <v>53</v>
      </c>
      <c r="U66">
        <v>118</v>
      </c>
      <c r="V66">
        <v>6229</v>
      </c>
      <c r="W66">
        <v>35</v>
      </c>
      <c r="X66" t="s">
        <v>20</v>
      </c>
      <c r="Y66">
        <v>0</v>
      </c>
      <c r="Z66" s="13">
        <v>5600</v>
      </c>
      <c r="AA66" s="7">
        <v>11500</v>
      </c>
      <c r="AB66">
        <v>0</v>
      </c>
    </row>
    <row r="67" spans="1:28">
      <c r="A67" t="s">
        <v>86</v>
      </c>
      <c r="B67">
        <v>47</v>
      </c>
      <c r="C67">
        <v>155.1</v>
      </c>
      <c r="D67" s="7">
        <v>11500</v>
      </c>
      <c r="E67">
        <v>308</v>
      </c>
      <c r="F67">
        <v>35</v>
      </c>
      <c r="G67">
        <v>48</v>
      </c>
      <c r="H67">
        <v>900</v>
      </c>
      <c r="I67">
        <v>951</v>
      </c>
      <c r="J67">
        <v>79</v>
      </c>
      <c r="K67">
        <v>79</v>
      </c>
      <c r="L67">
        <v>-22</v>
      </c>
      <c r="M67" s="6">
        <v>307.60000000000002</v>
      </c>
      <c r="N67" s="6">
        <v>144</v>
      </c>
      <c r="O67" s="1">
        <v>-21.7</v>
      </c>
      <c r="P67">
        <v>-22</v>
      </c>
      <c r="Q67" s="1">
        <v>-21.7</v>
      </c>
      <c r="R67" s="1" t="s">
        <v>40</v>
      </c>
      <c r="S67">
        <v>101</v>
      </c>
      <c r="T67">
        <v>55</v>
      </c>
      <c r="U67">
        <v>110</v>
      </c>
      <c r="V67">
        <v>6105</v>
      </c>
      <c r="W67">
        <v>33</v>
      </c>
      <c r="X67" t="s">
        <v>20</v>
      </c>
      <c r="Y67">
        <v>0</v>
      </c>
      <c r="Z67" s="13">
        <v>5600</v>
      </c>
      <c r="AA67" s="7">
        <v>11500</v>
      </c>
      <c r="AB67">
        <v>0</v>
      </c>
    </row>
    <row r="68" spans="1:28">
      <c r="A68" t="s">
        <v>87</v>
      </c>
      <c r="B68">
        <v>49</v>
      </c>
      <c r="C68">
        <v>157.5</v>
      </c>
      <c r="D68" s="7">
        <v>11500</v>
      </c>
      <c r="E68">
        <v>314</v>
      </c>
      <c r="F68">
        <v>36</v>
      </c>
      <c r="G68">
        <v>50</v>
      </c>
      <c r="H68">
        <v>850</v>
      </c>
      <c r="I68">
        <v>924</v>
      </c>
      <c r="J68">
        <v>77</v>
      </c>
      <c r="K68">
        <v>77</v>
      </c>
      <c r="L68">
        <v>-19</v>
      </c>
      <c r="M68" s="6">
        <v>313.89999999999998</v>
      </c>
      <c r="N68" s="6">
        <v>212</v>
      </c>
      <c r="O68" s="1">
        <v>-18.899999999999999</v>
      </c>
      <c r="P68">
        <v>-19</v>
      </c>
      <c r="Q68" s="1">
        <v>-18.899999999999999</v>
      </c>
      <c r="R68" s="1" t="s">
        <v>40</v>
      </c>
      <c r="S68">
        <v>97</v>
      </c>
      <c r="T68">
        <v>56</v>
      </c>
      <c r="U68">
        <v>110</v>
      </c>
      <c r="V68">
        <v>6149</v>
      </c>
      <c r="W68">
        <v>32</v>
      </c>
      <c r="X68" t="s">
        <v>20</v>
      </c>
      <c r="Y68">
        <v>0</v>
      </c>
      <c r="Z68" s="13">
        <v>5600</v>
      </c>
      <c r="AA68" s="7">
        <v>11500</v>
      </c>
      <c r="AB68">
        <v>0</v>
      </c>
    </row>
    <row r="69" spans="1:28">
      <c r="A69" t="s">
        <v>88</v>
      </c>
      <c r="B69">
        <v>51</v>
      </c>
      <c r="C69">
        <v>160.19999999999999</v>
      </c>
      <c r="D69" s="7">
        <v>11500</v>
      </c>
      <c r="E69">
        <v>304</v>
      </c>
      <c r="F69">
        <v>37</v>
      </c>
      <c r="G69">
        <v>51</v>
      </c>
      <c r="H69">
        <v>850</v>
      </c>
      <c r="I69">
        <v>909</v>
      </c>
      <c r="J69">
        <v>77</v>
      </c>
      <c r="K69">
        <v>77</v>
      </c>
      <c r="L69">
        <v>-19</v>
      </c>
      <c r="M69" s="6">
        <v>304.10000000000002</v>
      </c>
      <c r="N69" s="6">
        <v>234</v>
      </c>
      <c r="O69" s="1">
        <v>-19.2</v>
      </c>
      <c r="P69">
        <v>-19</v>
      </c>
      <c r="Q69" s="1">
        <v>-19.2</v>
      </c>
      <c r="R69" s="1" t="s">
        <v>40</v>
      </c>
      <c r="S69">
        <v>96</v>
      </c>
      <c r="T69">
        <v>57</v>
      </c>
      <c r="U69">
        <v>110</v>
      </c>
      <c r="V69">
        <v>6235</v>
      </c>
      <c r="W69">
        <v>31</v>
      </c>
      <c r="X69" t="s">
        <v>20</v>
      </c>
      <c r="Y69">
        <v>0</v>
      </c>
      <c r="Z69" s="13">
        <v>5600</v>
      </c>
      <c r="AA69" s="7">
        <v>11500</v>
      </c>
      <c r="AB69">
        <v>0</v>
      </c>
    </row>
    <row r="70" spans="1:28">
      <c r="A70" t="s">
        <v>89</v>
      </c>
      <c r="B70">
        <v>53</v>
      </c>
      <c r="C70">
        <v>162.30000000000001</v>
      </c>
      <c r="D70" s="7">
        <v>11500</v>
      </c>
      <c r="E70">
        <v>300</v>
      </c>
      <c r="F70">
        <v>38</v>
      </c>
      <c r="G70">
        <v>56</v>
      </c>
      <c r="H70">
        <v>670</v>
      </c>
      <c r="I70">
        <v>860</v>
      </c>
      <c r="J70">
        <v>75</v>
      </c>
      <c r="K70">
        <v>75</v>
      </c>
      <c r="L70">
        <v>-18</v>
      </c>
      <c r="M70" s="6">
        <v>300</v>
      </c>
      <c r="N70" s="6">
        <v>219</v>
      </c>
      <c r="O70" s="1">
        <v>-17.7</v>
      </c>
      <c r="P70">
        <v>-18</v>
      </c>
      <c r="Q70" s="1">
        <v>-17.7</v>
      </c>
      <c r="R70" s="1" t="s">
        <v>40</v>
      </c>
      <c r="S70">
        <v>93</v>
      </c>
      <c r="T70">
        <v>58</v>
      </c>
      <c r="U70">
        <v>100</v>
      </c>
      <c r="V70">
        <v>5848</v>
      </c>
      <c r="W70">
        <v>28</v>
      </c>
      <c r="X70" t="s">
        <v>20</v>
      </c>
      <c r="Y70">
        <v>1</v>
      </c>
      <c r="Z70" s="13">
        <v>5600</v>
      </c>
      <c r="AA70" s="7">
        <v>11500</v>
      </c>
      <c r="AB70">
        <v>0</v>
      </c>
    </row>
    <row r="71" spans="1:28">
      <c r="A71" t="s">
        <v>90</v>
      </c>
      <c r="B71">
        <v>54.5</v>
      </c>
      <c r="C71">
        <v>163.6</v>
      </c>
      <c r="D71" s="7">
        <v>11500</v>
      </c>
      <c r="E71">
        <v>300</v>
      </c>
      <c r="F71">
        <v>40</v>
      </c>
      <c r="G71">
        <v>64</v>
      </c>
      <c r="H71">
        <v>400</v>
      </c>
      <c r="I71">
        <v>500</v>
      </c>
      <c r="J71">
        <v>74</v>
      </c>
      <c r="K71">
        <v>74</v>
      </c>
      <c r="L71">
        <v>-17</v>
      </c>
      <c r="M71" s="6">
        <v>300</v>
      </c>
      <c r="N71" s="6">
        <v>149</v>
      </c>
      <c r="O71" s="1">
        <v>-16.7</v>
      </c>
      <c r="P71">
        <v>-17</v>
      </c>
      <c r="Q71" s="1">
        <v>-16.7</v>
      </c>
      <c r="R71" s="1" t="s">
        <v>40</v>
      </c>
      <c r="S71">
        <v>91</v>
      </c>
      <c r="T71">
        <v>59</v>
      </c>
      <c r="U71">
        <v>100</v>
      </c>
      <c r="V71">
        <v>5899</v>
      </c>
      <c r="W71">
        <v>16</v>
      </c>
      <c r="X71" t="s">
        <v>20</v>
      </c>
      <c r="Y71">
        <v>1</v>
      </c>
      <c r="Z71" s="13">
        <v>5600</v>
      </c>
      <c r="AA71" s="7">
        <v>11500</v>
      </c>
      <c r="AB71">
        <v>0</v>
      </c>
    </row>
    <row r="72" spans="1:28">
      <c r="A72" t="s">
        <v>91</v>
      </c>
      <c r="B72">
        <v>51.6</v>
      </c>
      <c r="C72">
        <v>173</v>
      </c>
      <c r="D72" s="7">
        <v>9500</v>
      </c>
      <c r="E72">
        <v>28</v>
      </c>
      <c r="F72">
        <v>37</v>
      </c>
      <c r="G72" s="14">
        <v>56</v>
      </c>
      <c r="H72">
        <v>300</v>
      </c>
      <c r="I72">
        <v>430</v>
      </c>
      <c r="J72">
        <v>21</v>
      </c>
      <c r="K72">
        <v>21</v>
      </c>
      <c r="L72">
        <v>5</v>
      </c>
      <c r="M72" s="6" t="s">
        <v>40</v>
      </c>
      <c r="N72" s="6" t="s">
        <v>40</v>
      </c>
      <c r="O72" s="1">
        <v>4.5999999999999996</v>
      </c>
      <c r="P72">
        <v>5</v>
      </c>
      <c r="Q72" s="1">
        <v>4.5999999999999996</v>
      </c>
      <c r="R72" s="1" t="s">
        <v>40</v>
      </c>
      <c r="S72">
        <v>17</v>
      </c>
      <c r="T72">
        <v>15</v>
      </c>
      <c r="U72">
        <v>45</v>
      </c>
      <c r="V72">
        <v>669</v>
      </c>
      <c r="W72">
        <v>10</v>
      </c>
      <c r="X72" t="s">
        <v>20</v>
      </c>
      <c r="Y72">
        <v>1</v>
      </c>
      <c r="Z72">
        <f>1800+1900</f>
        <v>3700</v>
      </c>
      <c r="AA72" s="7">
        <v>7500</v>
      </c>
      <c r="AB72">
        <v>0</v>
      </c>
    </row>
    <row r="73" spans="1:28">
      <c r="A73" t="s">
        <v>92</v>
      </c>
      <c r="B73">
        <v>51.1</v>
      </c>
      <c r="C73">
        <v>175</v>
      </c>
      <c r="D73" s="7">
        <v>9500</v>
      </c>
      <c r="E73">
        <v>16</v>
      </c>
      <c r="F73">
        <v>40</v>
      </c>
      <c r="G73" s="14">
        <v>56</v>
      </c>
      <c r="H73">
        <v>300</v>
      </c>
      <c r="I73">
        <v>440</v>
      </c>
      <c r="J73">
        <v>36</v>
      </c>
      <c r="K73">
        <v>36</v>
      </c>
      <c r="L73">
        <v>2</v>
      </c>
      <c r="M73" s="6">
        <v>16.2</v>
      </c>
      <c r="N73" s="6">
        <v>159</v>
      </c>
      <c r="O73" s="1">
        <v>1.6</v>
      </c>
      <c r="P73">
        <v>2</v>
      </c>
      <c r="Q73" s="1">
        <v>1.6</v>
      </c>
      <c r="R73" s="1" t="s">
        <v>40</v>
      </c>
      <c r="S73">
        <v>35</v>
      </c>
      <c r="T73">
        <v>24</v>
      </c>
      <c r="U73">
        <v>45</v>
      </c>
      <c r="V73">
        <v>1095</v>
      </c>
      <c r="W73">
        <v>10</v>
      </c>
      <c r="X73" t="s">
        <v>20</v>
      </c>
      <c r="Y73">
        <v>1</v>
      </c>
      <c r="Z73">
        <f t="shared" ref="Z73:Z94" si="0">1800+1900</f>
        <v>3700</v>
      </c>
      <c r="AA73" s="7">
        <v>7500</v>
      </c>
      <c r="AB73">
        <v>0</v>
      </c>
    </row>
    <row r="74" spans="1:28">
      <c r="A74" t="s">
        <v>93</v>
      </c>
      <c r="B74">
        <v>50.8</v>
      </c>
      <c r="C74">
        <v>177</v>
      </c>
      <c r="D74" s="7">
        <v>9500</v>
      </c>
      <c r="E74">
        <v>21</v>
      </c>
      <c r="F74">
        <v>40</v>
      </c>
      <c r="G74">
        <v>56</v>
      </c>
      <c r="H74">
        <v>350</v>
      </c>
      <c r="I74">
        <v>466</v>
      </c>
      <c r="J74">
        <v>32</v>
      </c>
      <c r="K74">
        <v>32</v>
      </c>
      <c r="L74">
        <v>-3</v>
      </c>
      <c r="M74" s="6">
        <v>20.9</v>
      </c>
      <c r="N74" s="6">
        <v>143</v>
      </c>
      <c r="O74" s="1">
        <v>-3.4</v>
      </c>
      <c r="P74">
        <v>-3</v>
      </c>
      <c r="Q74" s="1">
        <v>-3.4</v>
      </c>
      <c r="R74" s="1" t="s">
        <v>40</v>
      </c>
      <c r="S74">
        <v>29</v>
      </c>
      <c r="T74">
        <v>24</v>
      </c>
      <c r="U74">
        <v>54</v>
      </c>
      <c r="V74">
        <v>1282</v>
      </c>
      <c r="W74">
        <v>11</v>
      </c>
      <c r="X74" t="s">
        <v>20</v>
      </c>
      <c r="Y74" s="10">
        <v>0</v>
      </c>
      <c r="Z74">
        <f t="shared" si="0"/>
        <v>3700</v>
      </c>
      <c r="AA74" s="7">
        <v>7500</v>
      </c>
      <c r="AB74">
        <v>0</v>
      </c>
    </row>
    <row r="75" spans="1:28">
      <c r="A75" t="s">
        <v>94</v>
      </c>
      <c r="B75">
        <v>50.4</v>
      </c>
      <c r="C75">
        <v>179</v>
      </c>
      <c r="D75" s="7">
        <v>9500</v>
      </c>
      <c r="E75">
        <v>12</v>
      </c>
      <c r="F75">
        <v>40</v>
      </c>
      <c r="G75">
        <v>57</v>
      </c>
      <c r="H75">
        <v>400</v>
      </c>
      <c r="I75">
        <v>522</v>
      </c>
      <c r="J75">
        <v>42</v>
      </c>
      <c r="K75">
        <v>42</v>
      </c>
      <c r="L75">
        <v>-1</v>
      </c>
      <c r="M75" s="6">
        <v>11.6</v>
      </c>
      <c r="N75" s="6">
        <v>131</v>
      </c>
      <c r="O75" s="1">
        <v>-0.8</v>
      </c>
      <c r="P75">
        <v>-1</v>
      </c>
      <c r="Q75" s="1">
        <v>-0.8</v>
      </c>
      <c r="R75" s="1" t="s">
        <v>40</v>
      </c>
      <c r="S75">
        <v>42</v>
      </c>
      <c r="T75">
        <v>32</v>
      </c>
      <c r="U75">
        <v>56</v>
      </c>
      <c r="V75">
        <v>1805</v>
      </c>
      <c r="W75">
        <v>13</v>
      </c>
      <c r="X75" t="s">
        <v>20</v>
      </c>
      <c r="Y75" s="10">
        <v>0</v>
      </c>
      <c r="Z75">
        <f t="shared" si="0"/>
        <v>3700</v>
      </c>
      <c r="AA75" s="7">
        <v>7500</v>
      </c>
      <c r="AB75">
        <v>0</v>
      </c>
    </row>
    <row r="76" spans="1:28">
      <c r="A76" t="s">
        <v>95</v>
      </c>
      <c r="B76">
        <v>50.3</v>
      </c>
      <c r="C76">
        <v>181</v>
      </c>
      <c r="D76" s="7">
        <v>9500</v>
      </c>
      <c r="E76">
        <v>351</v>
      </c>
      <c r="F76">
        <v>39</v>
      </c>
      <c r="G76">
        <v>57.5</v>
      </c>
      <c r="H76">
        <v>475</v>
      </c>
      <c r="I76">
        <v>614</v>
      </c>
      <c r="J76">
        <v>51</v>
      </c>
      <c r="K76">
        <v>51</v>
      </c>
      <c r="L76">
        <v>-2</v>
      </c>
      <c r="M76" s="6">
        <v>350.9</v>
      </c>
      <c r="N76" s="6">
        <v>170</v>
      </c>
      <c r="O76" s="1">
        <v>-1.6</v>
      </c>
      <c r="P76">
        <v>-2</v>
      </c>
      <c r="Q76" s="1">
        <v>-1.6</v>
      </c>
      <c r="R76" s="1" t="s">
        <v>40</v>
      </c>
      <c r="S76">
        <v>54</v>
      </c>
      <c r="T76">
        <v>40</v>
      </c>
      <c r="U76">
        <v>58</v>
      </c>
      <c r="V76">
        <v>2303</v>
      </c>
      <c r="W76">
        <v>15</v>
      </c>
      <c r="X76" t="s">
        <v>20</v>
      </c>
      <c r="Y76" s="10">
        <v>0</v>
      </c>
      <c r="Z76">
        <f t="shared" si="0"/>
        <v>3700</v>
      </c>
      <c r="AA76" s="7">
        <v>7500</v>
      </c>
      <c r="AB76">
        <v>0</v>
      </c>
    </row>
    <row r="77" spans="1:28">
      <c r="A77" t="s">
        <v>96</v>
      </c>
      <c r="B77">
        <v>50.4</v>
      </c>
      <c r="C77">
        <v>183</v>
      </c>
      <c r="D77" s="7">
        <v>9500</v>
      </c>
      <c r="E77">
        <v>350</v>
      </c>
      <c r="F77">
        <v>38</v>
      </c>
      <c r="G77">
        <v>58</v>
      </c>
      <c r="H77">
        <v>550</v>
      </c>
      <c r="I77">
        <v>704</v>
      </c>
      <c r="J77">
        <v>61</v>
      </c>
      <c r="K77">
        <v>61</v>
      </c>
      <c r="L77">
        <v>-5</v>
      </c>
      <c r="M77" s="6">
        <v>350.2</v>
      </c>
      <c r="N77" s="6">
        <v>98</v>
      </c>
      <c r="O77" s="1">
        <v>-5</v>
      </c>
      <c r="P77">
        <v>-5</v>
      </c>
      <c r="Q77" s="1">
        <v>-5</v>
      </c>
      <c r="R77" s="1" t="s">
        <v>40</v>
      </c>
      <c r="S77">
        <v>65</v>
      </c>
      <c r="T77">
        <v>47</v>
      </c>
      <c r="U77">
        <v>58</v>
      </c>
      <c r="V77">
        <v>2745</v>
      </c>
      <c r="W77">
        <v>18</v>
      </c>
      <c r="X77" t="s">
        <v>20</v>
      </c>
      <c r="Y77" s="10">
        <v>0</v>
      </c>
      <c r="Z77">
        <f t="shared" si="0"/>
        <v>3700</v>
      </c>
      <c r="AA77" s="7">
        <v>7500</v>
      </c>
      <c r="AB77">
        <v>0</v>
      </c>
    </row>
    <row r="78" spans="1:28">
      <c r="A78" t="s">
        <v>97</v>
      </c>
      <c r="B78">
        <v>50.5</v>
      </c>
      <c r="C78">
        <v>185</v>
      </c>
      <c r="D78" s="7">
        <v>9500</v>
      </c>
      <c r="E78">
        <v>352</v>
      </c>
      <c r="F78">
        <v>36</v>
      </c>
      <c r="G78">
        <v>59</v>
      </c>
      <c r="H78">
        <v>550</v>
      </c>
      <c r="I78">
        <v>708</v>
      </c>
      <c r="J78">
        <v>61</v>
      </c>
      <c r="K78">
        <v>61</v>
      </c>
      <c r="L78">
        <v>-5</v>
      </c>
      <c r="M78" s="6">
        <v>352</v>
      </c>
      <c r="N78" s="6">
        <v>133</v>
      </c>
      <c r="O78" s="1">
        <v>-4.5999999999999996</v>
      </c>
      <c r="P78">
        <v>-5</v>
      </c>
      <c r="Q78" s="1">
        <v>-4.5999999999999996</v>
      </c>
      <c r="R78" s="1" t="s">
        <v>40</v>
      </c>
      <c r="S78">
        <v>66</v>
      </c>
      <c r="T78">
        <v>47</v>
      </c>
      <c r="U78">
        <v>58</v>
      </c>
      <c r="V78">
        <v>2742</v>
      </c>
      <c r="W78">
        <v>18</v>
      </c>
      <c r="X78" t="s">
        <v>20</v>
      </c>
      <c r="Y78" s="10">
        <v>0</v>
      </c>
      <c r="Z78">
        <f t="shared" si="0"/>
        <v>3700</v>
      </c>
      <c r="AA78" s="7">
        <v>7500</v>
      </c>
      <c r="AB78">
        <v>0</v>
      </c>
    </row>
    <row r="79" spans="1:28">
      <c r="A79" t="s">
        <v>98</v>
      </c>
      <c r="B79">
        <v>50.9</v>
      </c>
      <c r="C79">
        <v>187</v>
      </c>
      <c r="D79" s="7">
        <v>9500</v>
      </c>
      <c r="E79">
        <v>353</v>
      </c>
      <c r="F79">
        <v>35.5</v>
      </c>
      <c r="G79">
        <v>62</v>
      </c>
      <c r="H79">
        <v>500</v>
      </c>
      <c r="I79">
        <v>640</v>
      </c>
      <c r="J79">
        <v>59</v>
      </c>
      <c r="K79">
        <v>59</v>
      </c>
      <c r="L79">
        <v>-3</v>
      </c>
      <c r="M79" s="6">
        <v>353</v>
      </c>
      <c r="N79" s="6">
        <v>168</v>
      </c>
      <c r="O79" s="1">
        <v>-3.3</v>
      </c>
      <c r="P79">
        <v>-3</v>
      </c>
      <c r="Q79" s="1">
        <v>-3.3</v>
      </c>
      <c r="R79" s="1" t="s">
        <v>40</v>
      </c>
      <c r="S79">
        <v>63</v>
      </c>
      <c r="T79">
        <v>46</v>
      </c>
      <c r="U79">
        <v>63</v>
      </c>
      <c r="V79">
        <v>2904</v>
      </c>
      <c r="W79">
        <v>17</v>
      </c>
      <c r="X79" t="s">
        <v>20</v>
      </c>
      <c r="Y79" s="10">
        <v>0</v>
      </c>
      <c r="Z79">
        <f t="shared" si="0"/>
        <v>3700</v>
      </c>
      <c r="AA79" s="7">
        <v>7500</v>
      </c>
      <c r="AB79">
        <v>0</v>
      </c>
    </row>
    <row r="80" spans="1:28">
      <c r="A80" t="s">
        <v>99</v>
      </c>
      <c r="B80">
        <v>51.1</v>
      </c>
      <c r="C80">
        <v>189</v>
      </c>
      <c r="D80" s="7">
        <v>9500</v>
      </c>
      <c r="E80">
        <v>342</v>
      </c>
      <c r="F80">
        <v>35</v>
      </c>
      <c r="G80">
        <v>61</v>
      </c>
      <c r="H80">
        <v>500</v>
      </c>
      <c r="I80">
        <v>647</v>
      </c>
      <c r="J80">
        <v>64</v>
      </c>
      <c r="K80">
        <v>64</v>
      </c>
      <c r="L80">
        <v>-6</v>
      </c>
      <c r="M80" s="6">
        <v>342.3</v>
      </c>
      <c r="N80" s="6">
        <v>190</v>
      </c>
      <c r="O80" s="1">
        <v>-6</v>
      </c>
      <c r="P80">
        <v>-6</v>
      </c>
      <c r="Q80" s="1">
        <v>-6</v>
      </c>
      <c r="R80" s="5" t="s">
        <v>40</v>
      </c>
      <c r="S80">
        <v>71</v>
      </c>
      <c r="T80">
        <v>50</v>
      </c>
      <c r="U80">
        <v>63</v>
      </c>
      <c r="V80">
        <v>3122</v>
      </c>
      <c r="W80">
        <v>17</v>
      </c>
      <c r="X80" t="s">
        <v>20</v>
      </c>
      <c r="Y80" s="10">
        <v>0</v>
      </c>
      <c r="Z80">
        <f t="shared" si="0"/>
        <v>3700</v>
      </c>
      <c r="AA80" s="7">
        <v>7500</v>
      </c>
      <c r="AB80">
        <v>0</v>
      </c>
    </row>
    <row r="81" spans="1:28">
      <c r="A81" t="s">
        <v>100</v>
      </c>
      <c r="B81">
        <v>51.5</v>
      </c>
      <c r="C81">
        <v>191</v>
      </c>
      <c r="D81" s="7">
        <v>9500</v>
      </c>
      <c r="E81">
        <v>336</v>
      </c>
      <c r="F81">
        <v>34</v>
      </c>
      <c r="G81">
        <v>60</v>
      </c>
      <c r="H81">
        <v>450</v>
      </c>
      <c r="I81">
        <v>599</v>
      </c>
      <c r="J81">
        <v>65</v>
      </c>
      <c r="K81">
        <v>65</v>
      </c>
      <c r="L81">
        <v>-7</v>
      </c>
      <c r="M81" s="6">
        <v>336.2</v>
      </c>
      <c r="N81" s="6">
        <v>166</v>
      </c>
      <c r="O81" s="1">
        <v>-7.3</v>
      </c>
      <c r="P81">
        <v>-7</v>
      </c>
      <c r="Q81" s="1">
        <v>-7.3</v>
      </c>
      <c r="R81" s="1" t="s">
        <v>40</v>
      </c>
      <c r="S81">
        <v>73</v>
      </c>
      <c r="T81">
        <v>49</v>
      </c>
      <c r="U81">
        <v>61</v>
      </c>
      <c r="V81">
        <v>2998</v>
      </c>
      <c r="W81">
        <v>15</v>
      </c>
      <c r="X81" t="s">
        <v>20</v>
      </c>
      <c r="Y81" s="10">
        <v>0</v>
      </c>
      <c r="Z81">
        <f t="shared" si="0"/>
        <v>3700</v>
      </c>
      <c r="AA81" s="7">
        <v>7500</v>
      </c>
      <c r="AB81">
        <v>0</v>
      </c>
    </row>
    <row r="82" spans="1:28">
      <c r="A82" t="s">
        <v>101</v>
      </c>
      <c r="B82">
        <v>52</v>
      </c>
      <c r="C82">
        <v>193</v>
      </c>
      <c r="D82" s="7">
        <v>9500</v>
      </c>
      <c r="E82">
        <v>338</v>
      </c>
      <c r="F82">
        <v>33</v>
      </c>
      <c r="G82">
        <v>59</v>
      </c>
      <c r="H82">
        <v>450</v>
      </c>
      <c r="I82">
        <v>609</v>
      </c>
      <c r="J82">
        <v>65</v>
      </c>
      <c r="K82">
        <v>65</v>
      </c>
      <c r="L82">
        <v>-6</v>
      </c>
      <c r="M82" s="6">
        <v>337.9</v>
      </c>
      <c r="N82" s="6">
        <v>134</v>
      </c>
      <c r="O82" s="1">
        <v>-6</v>
      </c>
      <c r="P82">
        <v>-6</v>
      </c>
      <c r="Q82" s="1">
        <v>-6</v>
      </c>
      <c r="R82" s="1" t="s">
        <v>40</v>
      </c>
      <c r="S82">
        <v>71</v>
      </c>
      <c r="T82">
        <v>48</v>
      </c>
      <c r="U82">
        <v>59</v>
      </c>
      <c r="V82">
        <v>2813</v>
      </c>
      <c r="W82">
        <v>15</v>
      </c>
      <c r="X82" t="s">
        <v>20</v>
      </c>
      <c r="Y82" s="10">
        <v>0</v>
      </c>
      <c r="Z82">
        <f t="shared" si="0"/>
        <v>3700</v>
      </c>
      <c r="AA82" s="7">
        <v>7500</v>
      </c>
      <c r="AB82">
        <v>0</v>
      </c>
    </row>
    <row r="83" spans="1:28">
      <c r="A83" t="s">
        <v>102</v>
      </c>
      <c r="B83">
        <v>52.5</v>
      </c>
      <c r="C83">
        <v>195</v>
      </c>
      <c r="D83" s="7">
        <v>9500</v>
      </c>
      <c r="E83">
        <v>338</v>
      </c>
      <c r="F83">
        <v>32</v>
      </c>
      <c r="G83" s="14">
        <v>56</v>
      </c>
      <c r="H83">
        <v>400</v>
      </c>
      <c r="I83">
        <v>590</v>
      </c>
      <c r="J83">
        <v>64</v>
      </c>
      <c r="K83">
        <v>64</v>
      </c>
      <c r="L83">
        <v>-6</v>
      </c>
      <c r="M83" s="6">
        <v>338</v>
      </c>
      <c r="N83" s="6">
        <v>200</v>
      </c>
      <c r="O83" s="1">
        <v>-5.7</v>
      </c>
      <c r="P83">
        <v>-6</v>
      </c>
      <c r="Q83" s="1">
        <v>-5.7</v>
      </c>
      <c r="R83" s="1" t="s">
        <v>40</v>
      </c>
      <c r="S83">
        <v>70</v>
      </c>
      <c r="T83">
        <v>43</v>
      </c>
      <c r="U83">
        <v>58</v>
      </c>
      <c r="V83">
        <v>2509</v>
      </c>
      <c r="W83">
        <v>15</v>
      </c>
      <c r="X83" t="s">
        <v>20</v>
      </c>
      <c r="Y83" s="10">
        <v>0</v>
      </c>
      <c r="Z83">
        <f t="shared" si="0"/>
        <v>3700</v>
      </c>
      <c r="AA83" s="7">
        <v>7500</v>
      </c>
      <c r="AB83">
        <v>0</v>
      </c>
    </row>
    <row r="84" spans="1:28">
      <c r="A84" t="s">
        <v>103</v>
      </c>
      <c r="B84">
        <v>53.1</v>
      </c>
      <c r="C84">
        <v>197</v>
      </c>
      <c r="D84" s="7">
        <v>9500</v>
      </c>
      <c r="E84">
        <v>340</v>
      </c>
      <c r="F84">
        <v>31</v>
      </c>
      <c r="G84">
        <v>53</v>
      </c>
      <c r="H84">
        <v>400</v>
      </c>
      <c r="I84">
        <v>600</v>
      </c>
      <c r="J84">
        <v>33</v>
      </c>
      <c r="K84">
        <v>33</v>
      </c>
      <c r="L84">
        <v>-5</v>
      </c>
      <c r="M84" s="6">
        <v>339.5</v>
      </c>
      <c r="N84" s="6">
        <v>145</v>
      </c>
      <c r="O84" s="1">
        <v>-4.8</v>
      </c>
      <c r="P84">
        <v>-5</v>
      </c>
      <c r="Q84" s="1">
        <v>-4.8</v>
      </c>
      <c r="R84" s="1" t="s">
        <v>40</v>
      </c>
      <c r="S84">
        <v>68</v>
      </c>
      <c r="T84">
        <v>22</v>
      </c>
      <c r="U84">
        <v>53</v>
      </c>
      <c r="V84">
        <v>1159</v>
      </c>
      <c r="W84">
        <v>14</v>
      </c>
      <c r="X84" t="s">
        <v>20</v>
      </c>
      <c r="Y84" s="10">
        <v>0</v>
      </c>
      <c r="Z84">
        <f t="shared" si="0"/>
        <v>3700</v>
      </c>
      <c r="AA84" s="7">
        <v>7500</v>
      </c>
      <c r="AB84">
        <v>0</v>
      </c>
    </row>
    <row r="85" spans="1:28">
      <c r="A85" t="s">
        <v>104</v>
      </c>
      <c r="B85">
        <v>53.5</v>
      </c>
      <c r="C85">
        <v>199</v>
      </c>
      <c r="D85" s="7">
        <v>8000</v>
      </c>
      <c r="E85">
        <v>344</v>
      </c>
      <c r="F85">
        <v>29</v>
      </c>
      <c r="G85" s="15">
        <v>50.5</v>
      </c>
      <c r="H85">
        <v>400</v>
      </c>
      <c r="I85">
        <v>750</v>
      </c>
      <c r="J85">
        <v>62</v>
      </c>
      <c r="K85">
        <v>62</v>
      </c>
      <c r="L85">
        <v>-4</v>
      </c>
      <c r="M85" s="6">
        <v>343.5</v>
      </c>
      <c r="N85" s="6">
        <v>221</v>
      </c>
      <c r="O85" s="1">
        <v>-3.7</v>
      </c>
      <c r="P85">
        <v>-4</v>
      </c>
      <c r="Q85" s="1">
        <v>-3.7</v>
      </c>
      <c r="R85" s="1" t="s">
        <v>40</v>
      </c>
      <c r="S85">
        <v>65</v>
      </c>
      <c r="T85">
        <v>33</v>
      </c>
      <c r="U85">
        <v>52</v>
      </c>
      <c r="V85">
        <v>1706</v>
      </c>
      <c r="W85">
        <v>18</v>
      </c>
      <c r="X85" t="s">
        <v>20</v>
      </c>
      <c r="Y85" s="10">
        <v>0</v>
      </c>
      <c r="Z85">
        <f t="shared" si="0"/>
        <v>3700</v>
      </c>
      <c r="AA85" s="7">
        <v>7500</v>
      </c>
      <c r="AB85">
        <v>0</v>
      </c>
    </row>
    <row r="86" spans="1:28">
      <c r="A86" t="s">
        <v>105</v>
      </c>
      <c r="B86">
        <v>53.8</v>
      </c>
      <c r="C86">
        <v>201</v>
      </c>
      <c r="D86" s="7">
        <v>8000</v>
      </c>
      <c r="E86">
        <v>342</v>
      </c>
      <c r="F86">
        <v>28</v>
      </c>
      <c r="G86">
        <v>48</v>
      </c>
      <c r="H86">
        <v>400</v>
      </c>
      <c r="I86">
        <v>636</v>
      </c>
      <c r="J86">
        <v>60</v>
      </c>
      <c r="K86">
        <v>60</v>
      </c>
      <c r="L86">
        <v>-3</v>
      </c>
      <c r="M86" s="6">
        <v>341.6</v>
      </c>
      <c r="N86" s="6">
        <v>243</v>
      </c>
      <c r="O86" s="1">
        <v>-3.2</v>
      </c>
      <c r="P86">
        <v>-3</v>
      </c>
      <c r="Q86" s="1">
        <v>-3.2</v>
      </c>
      <c r="R86" s="1" t="s">
        <v>40</v>
      </c>
      <c r="S86">
        <v>64</v>
      </c>
      <c r="T86">
        <v>38</v>
      </c>
      <c r="U86">
        <v>52</v>
      </c>
      <c r="V86">
        <v>1961</v>
      </c>
      <c r="W86">
        <v>15</v>
      </c>
      <c r="X86" t="s">
        <v>20</v>
      </c>
      <c r="Y86" s="10">
        <v>0</v>
      </c>
      <c r="Z86">
        <f t="shared" si="0"/>
        <v>3700</v>
      </c>
      <c r="AA86" s="7">
        <v>7500</v>
      </c>
      <c r="AB86">
        <v>0</v>
      </c>
    </row>
    <row r="87" spans="1:28">
      <c r="A87" t="s">
        <v>106</v>
      </c>
      <c r="B87">
        <v>54.2</v>
      </c>
      <c r="C87">
        <v>203</v>
      </c>
      <c r="D87" s="7">
        <v>8000</v>
      </c>
      <c r="E87">
        <v>341</v>
      </c>
      <c r="F87">
        <v>26</v>
      </c>
      <c r="G87" s="15">
        <v>47</v>
      </c>
      <c r="H87">
        <v>300</v>
      </c>
      <c r="I87">
        <v>670</v>
      </c>
      <c r="J87">
        <v>59</v>
      </c>
      <c r="K87">
        <v>59</v>
      </c>
      <c r="L87">
        <v>-3</v>
      </c>
      <c r="M87" s="6">
        <v>341.3</v>
      </c>
      <c r="N87" s="6">
        <v>330</v>
      </c>
      <c r="O87" s="1">
        <v>-3</v>
      </c>
      <c r="P87">
        <v>-3</v>
      </c>
      <c r="Q87" s="1">
        <v>-3</v>
      </c>
      <c r="R87" s="5" t="s">
        <v>40</v>
      </c>
      <c r="S87">
        <v>62</v>
      </c>
      <c r="T87">
        <v>27</v>
      </c>
      <c r="U87">
        <v>52</v>
      </c>
      <c r="V87">
        <v>1381</v>
      </c>
      <c r="W87">
        <v>16</v>
      </c>
      <c r="X87" t="s">
        <v>20</v>
      </c>
      <c r="Y87" s="10">
        <v>0</v>
      </c>
      <c r="Z87">
        <f t="shared" si="0"/>
        <v>3700</v>
      </c>
      <c r="AA87" s="7">
        <v>7500</v>
      </c>
      <c r="AB87">
        <v>0</v>
      </c>
    </row>
    <row r="88" spans="1:28">
      <c r="A88" t="s">
        <v>107</v>
      </c>
      <c r="B88">
        <v>54.8</v>
      </c>
      <c r="C88">
        <v>205</v>
      </c>
      <c r="D88" s="7">
        <v>8000</v>
      </c>
      <c r="E88">
        <v>323</v>
      </c>
      <c r="F88">
        <v>24</v>
      </c>
      <c r="G88" s="15">
        <v>46</v>
      </c>
      <c r="H88">
        <v>300</v>
      </c>
      <c r="I88">
        <v>660</v>
      </c>
      <c r="J88">
        <v>58</v>
      </c>
      <c r="K88">
        <v>58</v>
      </c>
      <c r="L88">
        <v>-7</v>
      </c>
      <c r="M88" s="6">
        <v>323.10000000000002</v>
      </c>
      <c r="N88" s="6">
        <v>292</v>
      </c>
      <c r="O88" s="1">
        <v>-7</v>
      </c>
      <c r="P88">
        <v>-7</v>
      </c>
      <c r="Q88" s="1">
        <v>-7</v>
      </c>
      <c r="R88" s="1" t="s">
        <v>40</v>
      </c>
      <c r="S88">
        <v>65</v>
      </c>
      <c r="T88">
        <v>26</v>
      </c>
      <c r="U88">
        <v>52</v>
      </c>
      <c r="V88">
        <v>1369</v>
      </c>
      <c r="W88">
        <v>16</v>
      </c>
      <c r="X88" t="s">
        <v>20</v>
      </c>
      <c r="Y88" s="10">
        <v>0</v>
      </c>
      <c r="Z88">
        <f t="shared" si="0"/>
        <v>3700</v>
      </c>
      <c r="AA88" s="7">
        <v>7500</v>
      </c>
      <c r="AB88">
        <v>0</v>
      </c>
    </row>
    <row r="89" spans="1:28">
      <c r="A89" t="s">
        <v>108</v>
      </c>
      <c r="B89">
        <v>55.6</v>
      </c>
      <c r="C89">
        <v>207</v>
      </c>
      <c r="D89" s="7">
        <v>8000</v>
      </c>
      <c r="E89">
        <v>330</v>
      </c>
      <c r="F89">
        <v>23</v>
      </c>
      <c r="G89">
        <v>45</v>
      </c>
      <c r="H89">
        <v>300</v>
      </c>
      <c r="I89">
        <v>567</v>
      </c>
      <c r="J89">
        <v>58</v>
      </c>
      <c r="K89">
        <v>58</v>
      </c>
      <c r="L89">
        <v>-5</v>
      </c>
      <c r="M89" s="6">
        <v>330.1</v>
      </c>
      <c r="N89" s="6">
        <v>369</v>
      </c>
      <c r="O89" s="1">
        <v>-4.5</v>
      </c>
      <c r="P89">
        <v>-5</v>
      </c>
      <c r="Q89" s="1">
        <v>-4.5</v>
      </c>
      <c r="R89" s="1" t="s">
        <v>40</v>
      </c>
      <c r="S89">
        <v>63</v>
      </c>
      <c r="T89">
        <v>31</v>
      </c>
      <c r="U89">
        <v>49</v>
      </c>
      <c r="V89">
        <v>1495</v>
      </c>
      <c r="W89">
        <v>13</v>
      </c>
      <c r="X89" t="s">
        <v>20</v>
      </c>
      <c r="Y89" s="10">
        <v>0</v>
      </c>
      <c r="Z89">
        <f t="shared" si="0"/>
        <v>3700</v>
      </c>
      <c r="AA89" s="7">
        <v>7500</v>
      </c>
      <c r="AB89">
        <v>0</v>
      </c>
    </row>
    <row r="90" spans="1:28">
      <c r="A90" t="s">
        <v>109</v>
      </c>
      <c r="B90">
        <v>56.2</v>
      </c>
      <c r="C90">
        <v>209</v>
      </c>
      <c r="D90" s="7">
        <v>8000</v>
      </c>
      <c r="E90">
        <v>331</v>
      </c>
      <c r="F90">
        <v>21</v>
      </c>
      <c r="G90">
        <v>43</v>
      </c>
      <c r="H90">
        <v>300</v>
      </c>
      <c r="I90">
        <v>605</v>
      </c>
      <c r="J90">
        <v>56</v>
      </c>
      <c r="K90">
        <v>56</v>
      </c>
      <c r="L90">
        <v>-4</v>
      </c>
      <c r="M90" s="6">
        <v>331</v>
      </c>
      <c r="N90" s="6">
        <v>468</v>
      </c>
      <c r="O90" s="1">
        <v>-4.0999999999999996</v>
      </c>
      <c r="P90">
        <v>-4</v>
      </c>
      <c r="Q90" s="1">
        <v>-4.0999999999999996</v>
      </c>
      <c r="R90" s="1" t="s">
        <v>40</v>
      </c>
      <c r="S90">
        <v>61</v>
      </c>
      <c r="T90">
        <v>28</v>
      </c>
      <c r="U90">
        <v>46</v>
      </c>
      <c r="V90">
        <v>1267</v>
      </c>
      <c r="W90">
        <v>14</v>
      </c>
      <c r="X90" t="s">
        <v>20</v>
      </c>
      <c r="Y90" s="10">
        <v>0</v>
      </c>
      <c r="Z90">
        <f t="shared" si="0"/>
        <v>3700</v>
      </c>
      <c r="AA90" s="7">
        <v>7500</v>
      </c>
      <c r="AB90">
        <v>0</v>
      </c>
    </row>
    <row r="91" spans="1:28">
      <c r="A91" t="s">
        <v>110</v>
      </c>
      <c r="B91">
        <v>57.1</v>
      </c>
      <c r="C91">
        <v>211</v>
      </c>
      <c r="D91" s="7">
        <v>8000</v>
      </c>
      <c r="E91">
        <v>320</v>
      </c>
      <c r="F91">
        <v>19</v>
      </c>
      <c r="G91">
        <v>40</v>
      </c>
      <c r="H91">
        <v>300</v>
      </c>
      <c r="I91">
        <v>656</v>
      </c>
      <c r="J91">
        <v>52</v>
      </c>
      <c r="K91">
        <v>52</v>
      </c>
      <c r="L91">
        <v>-6</v>
      </c>
      <c r="M91" s="6">
        <v>319.60000000000002</v>
      </c>
      <c r="N91" s="6">
        <v>391</v>
      </c>
      <c r="O91" s="1">
        <v>-6.1</v>
      </c>
      <c r="P91">
        <v>-6</v>
      </c>
      <c r="Q91" s="1">
        <v>-6.1</v>
      </c>
      <c r="R91" s="5" t="s">
        <v>40</v>
      </c>
      <c r="S91">
        <v>58</v>
      </c>
      <c r="T91">
        <v>24</v>
      </c>
      <c r="U91">
        <v>45</v>
      </c>
      <c r="V91">
        <v>1062</v>
      </c>
      <c r="W91">
        <v>15</v>
      </c>
      <c r="X91" t="s">
        <v>20</v>
      </c>
      <c r="Y91" s="10">
        <v>0</v>
      </c>
      <c r="Z91">
        <f t="shared" si="0"/>
        <v>3700</v>
      </c>
      <c r="AA91" s="7">
        <v>7500</v>
      </c>
      <c r="AB91">
        <v>0</v>
      </c>
    </row>
    <row r="92" spans="1:28">
      <c r="A92" t="s">
        <v>111</v>
      </c>
      <c r="B92">
        <v>58</v>
      </c>
      <c r="C92">
        <v>213</v>
      </c>
      <c r="D92" s="7">
        <v>8000</v>
      </c>
      <c r="E92">
        <v>315</v>
      </c>
      <c r="F92">
        <v>18</v>
      </c>
      <c r="G92">
        <v>38</v>
      </c>
      <c r="H92">
        <v>300</v>
      </c>
      <c r="I92">
        <v>689</v>
      </c>
      <c r="J92">
        <v>47</v>
      </c>
      <c r="K92">
        <v>47</v>
      </c>
      <c r="L92">
        <v>-6</v>
      </c>
      <c r="M92" s="6">
        <v>314.5</v>
      </c>
      <c r="N92" s="6">
        <v>258</v>
      </c>
      <c r="O92" s="1">
        <v>-6.4</v>
      </c>
      <c r="P92">
        <v>-6</v>
      </c>
      <c r="Q92" s="1">
        <v>-6.4</v>
      </c>
      <c r="R92" s="1" t="s">
        <v>40</v>
      </c>
      <c r="S92">
        <v>54</v>
      </c>
      <c r="T92">
        <v>20</v>
      </c>
      <c r="U92">
        <v>40</v>
      </c>
      <c r="V92">
        <v>817</v>
      </c>
      <c r="W92">
        <v>14</v>
      </c>
      <c r="X92" t="s">
        <v>20</v>
      </c>
      <c r="Y92" s="10">
        <v>0</v>
      </c>
      <c r="Z92">
        <f t="shared" si="0"/>
        <v>3700</v>
      </c>
      <c r="AA92" s="7">
        <v>7500</v>
      </c>
      <c r="AB92">
        <v>0</v>
      </c>
    </row>
    <row r="93" spans="1:28">
      <c r="A93" t="s">
        <v>112</v>
      </c>
      <c r="B93">
        <v>59.1</v>
      </c>
      <c r="C93">
        <v>214.5</v>
      </c>
      <c r="D93" s="7">
        <v>8000</v>
      </c>
      <c r="E93">
        <v>311</v>
      </c>
      <c r="F93">
        <v>16</v>
      </c>
      <c r="G93" t="s">
        <v>40</v>
      </c>
      <c r="H93">
        <v>200</v>
      </c>
      <c r="I93">
        <v>770</v>
      </c>
      <c r="J93">
        <v>43</v>
      </c>
      <c r="K93">
        <v>43</v>
      </c>
      <c r="L93">
        <v>-7</v>
      </c>
      <c r="M93" s="6">
        <v>310.60000000000002</v>
      </c>
      <c r="N93" s="6">
        <v>341</v>
      </c>
      <c r="O93" s="1">
        <v>-6.8</v>
      </c>
      <c r="P93">
        <v>-7</v>
      </c>
      <c r="Q93" s="1">
        <v>-6.8</v>
      </c>
      <c r="R93" s="1" t="s">
        <v>40</v>
      </c>
      <c r="S93">
        <v>50</v>
      </c>
      <c r="T93">
        <v>11</v>
      </c>
      <c r="U93">
        <v>39</v>
      </c>
      <c r="V93">
        <v>437</v>
      </c>
      <c r="W93">
        <v>16</v>
      </c>
      <c r="X93" t="s">
        <v>20</v>
      </c>
      <c r="Y93">
        <v>1</v>
      </c>
      <c r="Z93">
        <f t="shared" si="0"/>
        <v>3700</v>
      </c>
      <c r="AA93" s="7">
        <v>7500</v>
      </c>
      <c r="AB93">
        <v>0</v>
      </c>
    </row>
    <row r="94" spans="1:28">
      <c r="A94" t="s">
        <v>113</v>
      </c>
      <c r="B94">
        <v>59.2</v>
      </c>
      <c r="C94">
        <v>215.5</v>
      </c>
      <c r="D94" s="7">
        <v>8000</v>
      </c>
      <c r="E94">
        <v>345</v>
      </c>
      <c r="F94">
        <v>14</v>
      </c>
      <c r="G94" t="s">
        <v>40</v>
      </c>
      <c r="H94">
        <v>200</v>
      </c>
      <c r="I94">
        <v>830</v>
      </c>
      <c r="J94">
        <v>52</v>
      </c>
      <c r="K94">
        <v>52</v>
      </c>
      <c r="L94">
        <v>2</v>
      </c>
      <c r="M94" s="6">
        <v>345</v>
      </c>
      <c r="N94" s="6">
        <v>419</v>
      </c>
      <c r="O94" s="1">
        <v>1.5</v>
      </c>
      <c r="P94">
        <v>2</v>
      </c>
      <c r="Q94" s="1">
        <v>1.5</v>
      </c>
      <c r="R94" s="1" t="s">
        <v>40</v>
      </c>
      <c r="S94">
        <v>51</v>
      </c>
      <c r="T94">
        <v>13</v>
      </c>
      <c r="U94">
        <v>39</v>
      </c>
      <c r="V94">
        <v>489</v>
      </c>
      <c r="W94">
        <v>17</v>
      </c>
      <c r="X94" t="s">
        <v>20</v>
      </c>
      <c r="Y94">
        <v>1</v>
      </c>
      <c r="Z94">
        <f t="shared" si="0"/>
        <v>3700</v>
      </c>
      <c r="AA94" s="7">
        <v>7500</v>
      </c>
      <c r="AB94">
        <v>0</v>
      </c>
    </row>
    <row r="95" spans="1:28">
      <c r="A95" t="s">
        <v>114</v>
      </c>
      <c r="B95">
        <v>50</v>
      </c>
      <c r="C95">
        <v>231.7</v>
      </c>
      <c r="D95" s="7">
        <v>400</v>
      </c>
      <c r="E95">
        <v>70</v>
      </c>
      <c r="F95">
        <v>20</v>
      </c>
      <c r="G95" s="15">
        <v>45</v>
      </c>
      <c r="H95">
        <v>400</v>
      </c>
      <c r="I95" t="s">
        <v>40</v>
      </c>
      <c r="J95">
        <v>44</v>
      </c>
      <c r="K95">
        <v>46</v>
      </c>
      <c r="L95">
        <v>21</v>
      </c>
      <c r="M95" s="6" t="s">
        <v>40</v>
      </c>
      <c r="N95" s="6" t="s">
        <v>40</v>
      </c>
      <c r="O95" s="1">
        <v>21</v>
      </c>
      <c r="P95">
        <v>19</v>
      </c>
      <c r="Q95" s="1">
        <v>18.8</v>
      </c>
      <c r="R95" s="5" t="s">
        <v>40</v>
      </c>
      <c r="S95">
        <v>25</v>
      </c>
      <c r="T95" t="s">
        <v>40</v>
      </c>
      <c r="U95">
        <v>5</v>
      </c>
      <c r="V95" t="s">
        <v>40</v>
      </c>
      <c r="W95" t="s">
        <v>40</v>
      </c>
      <c r="X95" t="s">
        <v>20</v>
      </c>
      <c r="Y95">
        <v>1</v>
      </c>
      <c r="Z95">
        <v>1300</v>
      </c>
      <c r="AA95" s="7">
        <v>400</v>
      </c>
      <c r="AB95">
        <v>0</v>
      </c>
    </row>
    <row r="96" spans="1:28">
      <c r="A96" t="s">
        <v>115</v>
      </c>
      <c r="B96">
        <v>48</v>
      </c>
      <c r="C96">
        <v>233.4</v>
      </c>
      <c r="D96" s="7">
        <v>400</v>
      </c>
      <c r="E96">
        <v>70</v>
      </c>
      <c r="F96">
        <v>17</v>
      </c>
      <c r="G96">
        <v>45</v>
      </c>
      <c r="H96">
        <v>300</v>
      </c>
      <c r="I96">
        <v>675</v>
      </c>
      <c r="J96">
        <v>37</v>
      </c>
      <c r="K96">
        <v>39</v>
      </c>
      <c r="L96">
        <v>22</v>
      </c>
      <c r="M96" s="6" t="s">
        <v>40</v>
      </c>
      <c r="N96" s="6" t="s">
        <v>40</v>
      </c>
      <c r="O96" s="1">
        <v>22</v>
      </c>
      <c r="P96">
        <v>20</v>
      </c>
      <c r="Q96" s="1">
        <v>19.7</v>
      </c>
      <c r="R96" s="1" t="s">
        <v>40</v>
      </c>
      <c r="S96">
        <v>17</v>
      </c>
      <c r="T96">
        <v>16</v>
      </c>
      <c r="U96">
        <v>10</v>
      </c>
      <c r="V96">
        <v>163</v>
      </c>
      <c r="W96">
        <v>7</v>
      </c>
      <c r="X96" t="s">
        <v>20</v>
      </c>
      <c r="Y96">
        <v>1</v>
      </c>
      <c r="Z96">
        <v>1300</v>
      </c>
      <c r="AA96" s="7">
        <v>400</v>
      </c>
      <c r="AB96">
        <v>0</v>
      </c>
    </row>
    <row r="97" spans="1:28">
      <c r="A97" t="s">
        <v>116</v>
      </c>
      <c r="B97">
        <v>46</v>
      </c>
      <c r="C97">
        <v>234.1</v>
      </c>
      <c r="D97" s="7">
        <v>400</v>
      </c>
      <c r="E97">
        <v>80</v>
      </c>
      <c r="F97">
        <v>13</v>
      </c>
      <c r="G97">
        <v>45</v>
      </c>
      <c r="H97">
        <v>300</v>
      </c>
      <c r="I97">
        <v>803</v>
      </c>
      <c r="J97">
        <v>31</v>
      </c>
      <c r="K97">
        <v>32</v>
      </c>
      <c r="L97">
        <v>24</v>
      </c>
      <c r="M97" s="6" t="s">
        <v>40</v>
      </c>
      <c r="N97" s="6" t="s">
        <v>40</v>
      </c>
      <c r="O97" s="1">
        <v>23.8</v>
      </c>
      <c r="P97">
        <v>23</v>
      </c>
      <c r="Q97" s="1">
        <v>22.8</v>
      </c>
      <c r="R97" s="1" t="s">
        <v>40</v>
      </c>
      <c r="S97">
        <v>8</v>
      </c>
      <c r="T97">
        <v>12</v>
      </c>
      <c r="U97">
        <v>11</v>
      </c>
      <c r="V97">
        <v>127</v>
      </c>
      <c r="W97">
        <v>9</v>
      </c>
      <c r="X97" t="s">
        <v>20</v>
      </c>
      <c r="Y97">
        <v>0</v>
      </c>
      <c r="Z97">
        <v>1300</v>
      </c>
      <c r="AA97" s="7">
        <v>400</v>
      </c>
      <c r="AB97">
        <v>0</v>
      </c>
    </row>
    <row r="98" spans="1:28">
      <c r="A98" t="s">
        <v>117</v>
      </c>
      <c r="B98">
        <v>44</v>
      </c>
      <c r="C98">
        <v>234.6</v>
      </c>
      <c r="D98" s="7">
        <v>400</v>
      </c>
      <c r="E98">
        <v>86</v>
      </c>
      <c r="F98">
        <v>16</v>
      </c>
      <c r="G98">
        <v>45</v>
      </c>
      <c r="H98">
        <v>300</v>
      </c>
      <c r="I98">
        <v>701</v>
      </c>
      <c r="J98">
        <v>24</v>
      </c>
      <c r="K98">
        <v>24</v>
      </c>
      <c r="L98">
        <v>24</v>
      </c>
      <c r="M98" s="6" t="s">
        <v>40</v>
      </c>
      <c r="N98" s="6" t="s">
        <v>40</v>
      </c>
      <c r="O98" s="1">
        <v>24</v>
      </c>
      <c r="P98">
        <v>24</v>
      </c>
      <c r="Q98" s="1">
        <v>24</v>
      </c>
      <c r="R98" s="1" t="s">
        <v>40</v>
      </c>
      <c r="S98">
        <v>0</v>
      </c>
      <c r="T98">
        <v>10</v>
      </c>
      <c r="U98">
        <v>11</v>
      </c>
      <c r="V98">
        <v>113</v>
      </c>
      <c r="W98">
        <v>8</v>
      </c>
      <c r="X98" t="s">
        <v>20</v>
      </c>
      <c r="Y98">
        <v>1</v>
      </c>
      <c r="Z98">
        <v>1300</v>
      </c>
      <c r="AA98" s="7">
        <v>400</v>
      </c>
      <c r="AB98">
        <v>0</v>
      </c>
    </row>
    <row r="99" spans="1:28">
      <c r="A99" t="s">
        <v>118</v>
      </c>
      <c r="B99">
        <v>19.100000000000001</v>
      </c>
      <c r="C99">
        <v>254.5</v>
      </c>
      <c r="D99" s="7">
        <v>550</v>
      </c>
      <c r="E99">
        <v>55</v>
      </c>
      <c r="F99">
        <v>38</v>
      </c>
      <c r="G99" s="15" t="s">
        <v>40</v>
      </c>
      <c r="H99">
        <v>300</v>
      </c>
      <c r="I99">
        <v>470</v>
      </c>
      <c r="J99">
        <v>40</v>
      </c>
      <c r="K99">
        <v>40</v>
      </c>
      <c r="L99">
        <v>36</v>
      </c>
      <c r="M99" s="6">
        <v>54.9</v>
      </c>
      <c r="N99" s="6">
        <v>276</v>
      </c>
      <c r="O99" s="1">
        <v>35.9</v>
      </c>
      <c r="P99">
        <v>36</v>
      </c>
      <c r="Q99" s="1">
        <v>35.9</v>
      </c>
      <c r="R99" s="1" t="s">
        <v>40</v>
      </c>
      <c r="S99">
        <v>4</v>
      </c>
      <c r="T99">
        <v>25</v>
      </c>
      <c r="U99">
        <v>8</v>
      </c>
      <c r="V99">
        <v>202</v>
      </c>
      <c r="W99">
        <v>4</v>
      </c>
      <c r="X99" t="s">
        <v>20</v>
      </c>
      <c r="Y99">
        <v>1</v>
      </c>
      <c r="Z99">
        <v>3100</v>
      </c>
      <c r="AA99" s="7">
        <v>1400</v>
      </c>
      <c r="AB99">
        <v>0</v>
      </c>
    </row>
    <row r="100" spans="1:28">
      <c r="A100" t="s">
        <v>119</v>
      </c>
      <c r="B100">
        <v>17.899999999999999</v>
      </c>
      <c r="C100">
        <v>256</v>
      </c>
      <c r="D100" s="7">
        <v>550</v>
      </c>
      <c r="E100">
        <v>37</v>
      </c>
      <c r="F100">
        <v>30</v>
      </c>
      <c r="G100" s="15" t="s">
        <v>40</v>
      </c>
      <c r="H100">
        <v>300</v>
      </c>
      <c r="I100" t="s">
        <v>40</v>
      </c>
      <c r="J100">
        <v>47</v>
      </c>
      <c r="K100">
        <v>47</v>
      </c>
      <c r="L100">
        <v>30</v>
      </c>
      <c r="M100" s="6">
        <v>37.4</v>
      </c>
      <c r="N100" s="6">
        <v>300</v>
      </c>
      <c r="O100" s="1">
        <v>29.7</v>
      </c>
      <c r="P100">
        <v>30</v>
      </c>
      <c r="Q100" s="1">
        <v>29.7</v>
      </c>
      <c r="R100" s="1" t="s">
        <v>40</v>
      </c>
      <c r="S100">
        <v>18</v>
      </c>
      <c r="T100" t="s">
        <v>40</v>
      </c>
      <c r="U100">
        <v>8</v>
      </c>
      <c r="V100" t="s">
        <v>40</v>
      </c>
      <c r="W100" t="s">
        <v>40</v>
      </c>
      <c r="X100" t="s">
        <v>20</v>
      </c>
      <c r="Y100">
        <v>1</v>
      </c>
      <c r="Z100">
        <v>3100</v>
      </c>
      <c r="AA100" s="7">
        <v>1400</v>
      </c>
      <c r="AB100">
        <v>0</v>
      </c>
    </row>
    <row r="101" spans="1:28">
      <c r="A101" t="s">
        <v>120</v>
      </c>
      <c r="B101">
        <v>16.899999999999999</v>
      </c>
      <c r="C101">
        <v>258</v>
      </c>
      <c r="D101" s="7">
        <v>550</v>
      </c>
      <c r="E101">
        <v>25</v>
      </c>
      <c r="F101">
        <v>20</v>
      </c>
      <c r="G101" s="15" t="s">
        <v>40</v>
      </c>
      <c r="H101">
        <v>300</v>
      </c>
      <c r="I101" t="s">
        <v>40</v>
      </c>
      <c r="J101">
        <v>51</v>
      </c>
      <c r="K101">
        <v>51</v>
      </c>
      <c r="L101">
        <v>25</v>
      </c>
      <c r="M101" s="6">
        <v>25</v>
      </c>
      <c r="N101" s="6">
        <v>402</v>
      </c>
      <c r="O101" s="1">
        <v>25.1</v>
      </c>
      <c r="P101">
        <v>25</v>
      </c>
      <c r="Q101" s="1">
        <v>25.1</v>
      </c>
      <c r="R101" s="1" t="s">
        <v>40</v>
      </c>
      <c r="S101">
        <v>26</v>
      </c>
      <c r="T101" t="s">
        <v>40</v>
      </c>
      <c r="U101">
        <v>15</v>
      </c>
      <c r="V101" t="s">
        <v>40</v>
      </c>
      <c r="W101" t="s">
        <v>40</v>
      </c>
      <c r="X101" t="s">
        <v>20</v>
      </c>
      <c r="Y101" s="10">
        <v>0</v>
      </c>
      <c r="Z101">
        <v>3100</v>
      </c>
      <c r="AA101" s="7">
        <v>1400</v>
      </c>
      <c r="AB101">
        <v>0</v>
      </c>
    </row>
    <row r="102" spans="1:28">
      <c r="A102" t="s">
        <v>121</v>
      </c>
      <c r="B102">
        <v>16.3</v>
      </c>
      <c r="C102">
        <v>260</v>
      </c>
      <c r="D102" s="7">
        <v>550</v>
      </c>
      <c r="E102">
        <v>30</v>
      </c>
      <c r="F102">
        <v>16</v>
      </c>
      <c r="G102" s="15" t="s">
        <v>40</v>
      </c>
      <c r="H102">
        <v>300</v>
      </c>
      <c r="I102" t="s">
        <v>40</v>
      </c>
      <c r="J102">
        <v>55</v>
      </c>
      <c r="K102">
        <v>55</v>
      </c>
      <c r="L102">
        <v>23</v>
      </c>
      <c r="M102" s="6">
        <v>30.4</v>
      </c>
      <c r="N102" s="6">
        <v>343</v>
      </c>
      <c r="O102" s="1">
        <v>23.2</v>
      </c>
      <c r="P102">
        <v>23</v>
      </c>
      <c r="Q102" s="1">
        <v>23.2</v>
      </c>
      <c r="R102" s="5" t="s">
        <v>40</v>
      </c>
      <c r="S102">
        <v>33</v>
      </c>
      <c r="T102" t="s">
        <v>40</v>
      </c>
      <c r="U102">
        <v>15</v>
      </c>
      <c r="V102" t="s">
        <v>40</v>
      </c>
      <c r="W102" t="s">
        <v>40</v>
      </c>
      <c r="X102" t="s">
        <v>20</v>
      </c>
      <c r="Y102" s="10">
        <v>0</v>
      </c>
      <c r="Z102">
        <v>3100</v>
      </c>
      <c r="AA102" s="7">
        <v>1400</v>
      </c>
      <c r="AB102">
        <v>0</v>
      </c>
    </row>
    <row r="103" spans="1:28">
      <c r="A103" t="s">
        <v>122</v>
      </c>
      <c r="B103">
        <v>15.6</v>
      </c>
      <c r="C103">
        <v>262</v>
      </c>
      <c r="D103" s="7">
        <v>550</v>
      </c>
      <c r="E103">
        <v>18</v>
      </c>
      <c r="F103">
        <v>18</v>
      </c>
      <c r="G103" s="15" t="s">
        <v>40</v>
      </c>
      <c r="H103">
        <v>300</v>
      </c>
      <c r="I103" t="s">
        <v>40</v>
      </c>
      <c r="J103">
        <v>60</v>
      </c>
      <c r="K103">
        <v>60</v>
      </c>
      <c r="L103">
        <v>22</v>
      </c>
      <c r="M103" s="6">
        <v>17.8</v>
      </c>
      <c r="N103" s="6">
        <v>579</v>
      </c>
      <c r="O103" s="1">
        <v>21.7</v>
      </c>
      <c r="P103">
        <v>22</v>
      </c>
      <c r="Q103" s="1">
        <v>21.7</v>
      </c>
      <c r="R103" s="1" t="s">
        <v>40</v>
      </c>
      <c r="S103">
        <v>38</v>
      </c>
      <c r="T103" t="s">
        <v>40</v>
      </c>
      <c r="U103">
        <v>15</v>
      </c>
      <c r="V103" t="s">
        <v>40</v>
      </c>
      <c r="W103" t="s">
        <v>40</v>
      </c>
      <c r="X103" t="s">
        <v>20</v>
      </c>
      <c r="Y103" s="10">
        <v>0</v>
      </c>
      <c r="Z103">
        <v>3100</v>
      </c>
      <c r="AA103" s="7">
        <v>1400</v>
      </c>
      <c r="AB103">
        <v>0</v>
      </c>
    </row>
    <row r="104" spans="1:28">
      <c r="A104" t="s">
        <v>123</v>
      </c>
      <c r="B104">
        <v>15.3</v>
      </c>
      <c r="C104">
        <v>264</v>
      </c>
      <c r="D104" s="7">
        <v>550</v>
      </c>
      <c r="E104">
        <v>10</v>
      </c>
      <c r="F104">
        <v>25</v>
      </c>
      <c r="G104" s="15" t="s">
        <v>40</v>
      </c>
      <c r="H104">
        <v>300</v>
      </c>
      <c r="I104">
        <v>570</v>
      </c>
      <c r="J104">
        <v>61</v>
      </c>
      <c r="K104">
        <v>61</v>
      </c>
      <c r="L104">
        <v>17</v>
      </c>
      <c r="M104" s="6">
        <v>9.6999999999999993</v>
      </c>
      <c r="N104" s="6">
        <v>290</v>
      </c>
      <c r="O104" s="1">
        <v>16.7</v>
      </c>
      <c r="P104">
        <v>17</v>
      </c>
      <c r="Q104" s="1">
        <v>16.7</v>
      </c>
      <c r="R104" s="1" t="s">
        <v>40</v>
      </c>
      <c r="S104">
        <v>44</v>
      </c>
      <c r="T104">
        <v>32</v>
      </c>
      <c r="U104">
        <v>15</v>
      </c>
      <c r="V104">
        <v>478</v>
      </c>
      <c r="W104">
        <v>7</v>
      </c>
      <c r="X104" t="s">
        <v>20</v>
      </c>
      <c r="Y104" s="10">
        <v>0</v>
      </c>
      <c r="Z104">
        <v>3100</v>
      </c>
      <c r="AA104" s="7">
        <v>1400</v>
      </c>
      <c r="AB104">
        <v>0</v>
      </c>
    </row>
    <row r="105" spans="1:28">
      <c r="A105" t="s">
        <v>124</v>
      </c>
      <c r="B105">
        <v>14.2</v>
      </c>
      <c r="C105">
        <v>266</v>
      </c>
      <c r="D105" s="7">
        <v>1200</v>
      </c>
      <c r="E105">
        <v>21</v>
      </c>
      <c r="F105">
        <v>27</v>
      </c>
      <c r="G105">
        <v>55</v>
      </c>
      <c r="H105">
        <v>300</v>
      </c>
      <c r="I105">
        <v>489</v>
      </c>
      <c r="J105">
        <v>63</v>
      </c>
      <c r="K105">
        <v>63</v>
      </c>
      <c r="L105">
        <v>21</v>
      </c>
      <c r="M105" s="6">
        <v>21</v>
      </c>
      <c r="N105" s="6">
        <v>307</v>
      </c>
      <c r="O105" s="1">
        <v>21.4</v>
      </c>
      <c r="P105">
        <v>21</v>
      </c>
      <c r="Q105" s="1">
        <v>21.4</v>
      </c>
      <c r="R105" s="1" t="s">
        <v>40</v>
      </c>
      <c r="S105">
        <v>42</v>
      </c>
      <c r="T105">
        <v>38</v>
      </c>
      <c r="U105">
        <v>18</v>
      </c>
      <c r="V105">
        <v>692</v>
      </c>
      <c r="W105">
        <v>7</v>
      </c>
      <c r="X105" t="s">
        <v>20</v>
      </c>
      <c r="Y105" s="10">
        <v>0</v>
      </c>
      <c r="Z105">
        <v>3100</v>
      </c>
      <c r="AA105" s="7">
        <v>1400</v>
      </c>
      <c r="AB105">
        <v>0</v>
      </c>
    </row>
    <row r="106" spans="1:28">
      <c r="A106" t="s">
        <v>125</v>
      </c>
      <c r="B106">
        <v>13.2</v>
      </c>
      <c r="C106">
        <v>268</v>
      </c>
      <c r="D106" s="7">
        <v>1200</v>
      </c>
      <c r="E106">
        <v>27</v>
      </c>
      <c r="F106">
        <v>28</v>
      </c>
      <c r="G106">
        <v>54</v>
      </c>
      <c r="H106">
        <v>400</v>
      </c>
      <c r="I106">
        <v>606</v>
      </c>
      <c r="J106">
        <v>68</v>
      </c>
      <c r="K106">
        <v>68</v>
      </c>
      <c r="L106">
        <v>20</v>
      </c>
      <c r="M106" s="6">
        <v>26.5</v>
      </c>
      <c r="N106" s="6">
        <v>229</v>
      </c>
      <c r="O106" s="1">
        <v>19.600000000000001</v>
      </c>
      <c r="P106">
        <v>20</v>
      </c>
      <c r="Q106" s="1">
        <v>19.600000000000001</v>
      </c>
      <c r="R106" s="1" t="s">
        <v>40</v>
      </c>
      <c r="S106">
        <v>49</v>
      </c>
      <c r="T106">
        <v>45</v>
      </c>
      <c r="U106">
        <v>22</v>
      </c>
      <c r="V106">
        <v>987</v>
      </c>
      <c r="W106">
        <v>9</v>
      </c>
      <c r="X106" t="s">
        <v>20</v>
      </c>
      <c r="Y106" s="10">
        <v>0</v>
      </c>
      <c r="Z106">
        <v>3100</v>
      </c>
      <c r="AA106" s="7">
        <v>1400</v>
      </c>
      <c r="AB106">
        <v>0</v>
      </c>
    </row>
    <row r="107" spans="1:28">
      <c r="A107" t="s">
        <v>126</v>
      </c>
      <c r="B107">
        <v>12.3</v>
      </c>
      <c r="C107">
        <v>270</v>
      </c>
      <c r="D107" s="7">
        <v>1200</v>
      </c>
      <c r="E107">
        <v>22</v>
      </c>
      <c r="F107">
        <v>30</v>
      </c>
      <c r="G107">
        <v>64</v>
      </c>
      <c r="H107">
        <v>400</v>
      </c>
      <c r="I107">
        <v>556</v>
      </c>
      <c r="J107">
        <v>73</v>
      </c>
      <c r="K107">
        <v>73</v>
      </c>
      <c r="L107">
        <v>19</v>
      </c>
      <c r="M107" s="6">
        <v>22.2</v>
      </c>
      <c r="N107" s="6">
        <v>164</v>
      </c>
      <c r="O107" s="1">
        <v>18.5</v>
      </c>
      <c r="P107">
        <v>19</v>
      </c>
      <c r="Q107" s="1">
        <v>18.5</v>
      </c>
      <c r="R107" s="1" t="s">
        <v>40</v>
      </c>
      <c r="S107">
        <v>55</v>
      </c>
      <c r="T107">
        <v>52</v>
      </c>
      <c r="U107">
        <v>24</v>
      </c>
      <c r="V107">
        <v>1255</v>
      </c>
      <c r="W107">
        <v>9</v>
      </c>
      <c r="X107" t="s">
        <v>20</v>
      </c>
      <c r="Y107" s="10">
        <v>0</v>
      </c>
      <c r="Z107">
        <v>3100</v>
      </c>
      <c r="AA107" s="7">
        <v>1400</v>
      </c>
      <c r="AB107">
        <v>0</v>
      </c>
    </row>
    <row r="108" spans="1:28">
      <c r="A108" t="s">
        <v>127</v>
      </c>
      <c r="B108">
        <v>11.4</v>
      </c>
      <c r="C108">
        <v>272</v>
      </c>
      <c r="D108" s="7">
        <v>1200</v>
      </c>
      <c r="E108">
        <v>32</v>
      </c>
      <c r="F108">
        <v>32</v>
      </c>
      <c r="G108">
        <v>66</v>
      </c>
      <c r="H108">
        <v>400</v>
      </c>
      <c r="I108">
        <v>537</v>
      </c>
      <c r="J108">
        <v>78</v>
      </c>
      <c r="K108">
        <v>78</v>
      </c>
      <c r="L108">
        <v>22</v>
      </c>
      <c r="M108" s="6">
        <v>32</v>
      </c>
      <c r="N108" s="6">
        <v>106</v>
      </c>
      <c r="O108" s="1">
        <v>22.3</v>
      </c>
      <c r="P108">
        <v>22</v>
      </c>
      <c r="Q108" s="1">
        <v>22.3</v>
      </c>
      <c r="R108" s="1" t="s">
        <v>40</v>
      </c>
      <c r="S108">
        <v>55</v>
      </c>
      <c r="T108">
        <v>58</v>
      </c>
      <c r="U108">
        <v>28</v>
      </c>
      <c r="V108">
        <v>1621</v>
      </c>
      <c r="W108">
        <v>9</v>
      </c>
      <c r="X108" t="s">
        <v>20</v>
      </c>
      <c r="Y108" s="10">
        <v>0</v>
      </c>
      <c r="Z108">
        <v>3100</v>
      </c>
      <c r="AA108" s="7">
        <v>1400</v>
      </c>
      <c r="AB108">
        <v>0</v>
      </c>
    </row>
    <row r="109" spans="1:28">
      <c r="A109" t="s">
        <v>128</v>
      </c>
      <c r="B109">
        <v>9.4</v>
      </c>
      <c r="C109">
        <v>274</v>
      </c>
      <c r="D109" s="7">
        <v>1200</v>
      </c>
      <c r="E109">
        <v>30</v>
      </c>
      <c r="F109">
        <v>29</v>
      </c>
      <c r="G109">
        <v>57</v>
      </c>
      <c r="H109">
        <v>400</v>
      </c>
      <c r="I109">
        <v>586</v>
      </c>
      <c r="J109">
        <v>83</v>
      </c>
      <c r="K109">
        <v>83</v>
      </c>
      <c r="L109">
        <v>22</v>
      </c>
      <c r="M109" s="6">
        <v>30</v>
      </c>
      <c r="N109" s="6">
        <v>132</v>
      </c>
      <c r="O109" s="1">
        <v>21.6</v>
      </c>
      <c r="P109">
        <v>22</v>
      </c>
      <c r="Q109" s="1">
        <v>21.6</v>
      </c>
      <c r="R109" s="1" t="s">
        <v>40</v>
      </c>
      <c r="S109">
        <v>62</v>
      </c>
      <c r="T109">
        <v>57</v>
      </c>
      <c r="U109">
        <v>26</v>
      </c>
      <c r="V109">
        <v>1474</v>
      </c>
      <c r="W109">
        <v>10</v>
      </c>
      <c r="X109" t="s">
        <v>20</v>
      </c>
      <c r="Y109">
        <v>1</v>
      </c>
      <c r="Z109">
        <v>3100</v>
      </c>
      <c r="AA109" s="7">
        <v>1400</v>
      </c>
      <c r="AB109">
        <v>0</v>
      </c>
    </row>
    <row r="110" spans="1:28">
      <c r="A110" t="s">
        <v>129</v>
      </c>
      <c r="B110">
        <v>5</v>
      </c>
      <c r="C110">
        <v>281.89999999999998</v>
      </c>
      <c r="D110" s="7">
        <v>500</v>
      </c>
      <c r="E110">
        <v>113</v>
      </c>
      <c r="F110">
        <v>28</v>
      </c>
      <c r="G110">
        <v>50</v>
      </c>
      <c r="H110">
        <v>670</v>
      </c>
      <c r="I110">
        <v>978</v>
      </c>
      <c r="J110">
        <v>45</v>
      </c>
      <c r="K110">
        <v>53</v>
      </c>
      <c r="L110">
        <v>39</v>
      </c>
      <c r="M110" s="6">
        <v>256.8</v>
      </c>
      <c r="N110" s="6">
        <v>241</v>
      </c>
      <c r="O110" s="1">
        <v>38.6</v>
      </c>
      <c r="P110">
        <v>27</v>
      </c>
      <c r="Q110" s="1">
        <v>27.4</v>
      </c>
      <c r="R110">
        <v>8</v>
      </c>
      <c r="S110">
        <v>15</v>
      </c>
      <c r="T110">
        <v>31</v>
      </c>
      <c r="U110">
        <v>19</v>
      </c>
      <c r="V110">
        <v>587</v>
      </c>
      <c r="W110">
        <v>14</v>
      </c>
      <c r="X110" t="s">
        <v>20</v>
      </c>
      <c r="Y110">
        <v>1</v>
      </c>
      <c r="Z110">
        <f>1725+1700+3375</f>
        <v>6800</v>
      </c>
      <c r="AA110" s="7">
        <v>4000</v>
      </c>
      <c r="AB110">
        <v>0</v>
      </c>
    </row>
    <row r="111" spans="1:28">
      <c r="A111" t="s">
        <v>130</v>
      </c>
      <c r="B111">
        <v>3.5</v>
      </c>
      <c r="C111">
        <v>280.89999999999998</v>
      </c>
      <c r="D111" s="7">
        <v>500</v>
      </c>
      <c r="E111">
        <v>120</v>
      </c>
      <c r="F111">
        <v>26</v>
      </c>
      <c r="G111">
        <v>45</v>
      </c>
      <c r="H111">
        <v>670</v>
      </c>
      <c r="I111">
        <v>1056</v>
      </c>
      <c r="J111">
        <v>47</v>
      </c>
      <c r="K111">
        <v>50</v>
      </c>
      <c r="L111">
        <v>36</v>
      </c>
      <c r="M111" s="6">
        <v>120</v>
      </c>
      <c r="N111" s="6">
        <v>261</v>
      </c>
      <c r="O111" s="1">
        <v>35.9</v>
      </c>
      <c r="P111">
        <v>33</v>
      </c>
      <c r="Q111" s="1">
        <v>33</v>
      </c>
      <c r="R111">
        <v>2.5</v>
      </c>
      <c r="S111">
        <v>14</v>
      </c>
      <c r="T111">
        <v>30</v>
      </c>
      <c r="U111">
        <v>15</v>
      </c>
      <c r="V111">
        <v>450</v>
      </c>
      <c r="W111">
        <v>13</v>
      </c>
      <c r="X111" t="s">
        <v>20</v>
      </c>
      <c r="Y111">
        <v>1</v>
      </c>
      <c r="Z111">
        <f t="shared" ref="Z111:Z131" si="1">1725+1700+3375</f>
        <v>6800</v>
      </c>
      <c r="AA111" s="7">
        <v>4000</v>
      </c>
      <c r="AB111">
        <v>0</v>
      </c>
    </row>
    <row r="112" spans="1:28">
      <c r="A112" t="s">
        <v>131</v>
      </c>
      <c r="B112">
        <v>2</v>
      </c>
      <c r="C112">
        <v>279.89999999999998</v>
      </c>
      <c r="D112" s="7">
        <v>500</v>
      </c>
      <c r="E112">
        <v>115</v>
      </c>
      <c r="F112">
        <v>21</v>
      </c>
      <c r="G112">
        <v>45</v>
      </c>
      <c r="H112">
        <v>670</v>
      </c>
      <c r="I112">
        <v>1120</v>
      </c>
      <c r="J112">
        <v>42</v>
      </c>
      <c r="K112">
        <v>55</v>
      </c>
      <c r="L112">
        <v>38</v>
      </c>
      <c r="M112" s="6" t="s">
        <v>40</v>
      </c>
      <c r="N112" s="6" t="s">
        <v>40</v>
      </c>
      <c r="O112" s="1">
        <v>38.200000000000003</v>
      </c>
      <c r="P112">
        <v>25</v>
      </c>
      <c r="Q112" s="1">
        <v>25.2</v>
      </c>
      <c r="R112">
        <v>12.7</v>
      </c>
      <c r="S112">
        <v>16</v>
      </c>
      <c r="T112">
        <v>25</v>
      </c>
      <c r="U112">
        <v>12</v>
      </c>
      <c r="V112">
        <v>302</v>
      </c>
      <c r="W112">
        <v>13</v>
      </c>
      <c r="X112" t="s">
        <v>20</v>
      </c>
      <c r="Y112" s="10">
        <v>0</v>
      </c>
      <c r="Z112">
        <f t="shared" si="1"/>
        <v>6800</v>
      </c>
      <c r="AA112" s="7">
        <v>4000</v>
      </c>
      <c r="AB112">
        <v>0</v>
      </c>
    </row>
    <row r="113" spans="1:28">
      <c r="A113" t="s">
        <v>132</v>
      </c>
      <c r="B113">
        <v>-4</v>
      </c>
      <c r="C113">
        <v>278.10000000000002</v>
      </c>
      <c r="D113" s="7">
        <v>2800</v>
      </c>
      <c r="E113">
        <v>91</v>
      </c>
      <c r="F113">
        <v>11</v>
      </c>
      <c r="G113">
        <v>45</v>
      </c>
      <c r="H113">
        <v>1200</v>
      </c>
      <c r="I113">
        <v>1426</v>
      </c>
      <c r="J113">
        <v>69</v>
      </c>
      <c r="K113">
        <v>69</v>
      </c>
      <c r="L113">
        <v>47</v>
      </c>
      <c r="M113" s="6">
        <v>91</v>
      </c>
      <c r="N113" s="6">
        <v>374</v>
      </c>
      <c r="O113" s="1">
        <v>46.6</v>
      </c>
      <c r="P113">
        <v>47</v>
      </c>
      <c r="Q113" s="1">
        <v>46.6</v>
      </c>
      <c r="R113" s="1" t="s">
        <v>40</v>
      </c>
      <c r="S113">
        <v>23</v>
      </c>
      <c r="T113">
        <v>33</v>
      </c>
      <c r="U113">
        <v>30</v>
      </c>
      <c r="V113">
        <v>976</v>
      </c>
      <c r="W113">
        <v>26</v>
      </c>
      <c r="X113" t="s">
        <v>20</v>
      </c>
      <c r="Y113" s="10">
        <v>0</v>
      </c>
      <c r="Z113">
        <f t="shared" si="1"/>
        <v>6800</v>
      </c>
      <c r="AA113" s="7">
        <v>4000</v>
      </c>
      <c r="AB113">
        <v>0</v>
      </c>
    </row>
    <row r="114" spans="1:28">
      <c r="A114" t="s">
        <v>133</v>
      </c>
      <c r="B114">
        <v>-5.5</v>
      </c>
      <c r="C114">
        <v>278.10000000000002</v>
      </c>
      <c r="D114" s="7">
        <v>2800</v>
      </c>
      <c r="E114">
        <v>83</v>
      </c>
      <c r="F114">
        <v>10</v>
      </c>
      <c r="G114">
        <v>46</v>
      </c>
      <c r="H114">
        <v>1200</v>
      </c>
      <c r="I114">
        <v>1477</v>
      </c>
      <c r="J114">
        <v>71</v>
      </c>
      <c r="K114">
        <v>71</v>
      </c>
      <c r="L114">
        <v>47</v>
      </c>
      <c r="M114" s="6">
        <v>82.9</v>
      </c>
      <c r="N114" s="6">
        <v>514</v>
      </c>
      <c r="O114" s="1">
        <v>47</v>
      </c>
      <c r="P114">
        <v>47</v>
      </c>
      <c r="Q114" s="1">
        <v>47</v>
      </c>
      <c r="R114" s="1" t="s">
        <v>40</v>
      </c>
      <c r="S114">
        <v>24</v>
      </c>
      <c r="T114">
        <v>32</v>
      </c>
      <c r="U114">
        <v>30</v>
      </c>
      <c r="V114">
        <v>966</v>
      </c>
      <c r="W114">
        <v>27</v>
      </c>
      <c r="X114" t="s">
        <v>20</v>
      </c>
      <c r="Y114" s="10">
        <v>0</v>
      </c>
      <c r="Z114">
        <f t="shared" si="1"/>
        <v>6800</v>
      </c>
      <c r="AA114" s="7">
        <v>4000</v>
      </c>
      <c r="AB114">
        <v>0</v>
      </c>
    </row>
    <row r="115" spans="1:28">
      <c r="A115" t="s">
        <v>134</v>
      </c>
      <c r="B115">
        <v>-7</v>
      </c>
      <c r="C115">
        <v>278.39999999999998</v>
      </c>
      <c r="D115" s="7">
        <v>3200</v>
      </c>
      <c r="E115">
        <v>71</v>
      </c>
      <c r="F115">
        <v>10</v>
      </c>
      <c r="G115">
        <v>47</v>
      </c>
      <c r="H115">
        <v>1200</v>
      </c>
      <c r="I115">
        <v>1465</v>
      </c>
      <c r="J115">
        <v>71</v>
      </c>
      <c r="K115">
        <v>71</v>
      </c>
      <c r="L115">
        <v>46</v>
      </c>
      <c r="M115" s="6" t="s">
        <v>40</v>
      </c>
      <c r="N115" s="6" t="s">
        <v>40</v>
      </c>
      <c r="O115" s="1">
        <v>45.9</v>
      </c>
      <c r="P115">
        <v>46</v>
      </c>
      <c r="Q115" s="1">
        <v>45.9</v>
      </c>
      <c r="R115" s="1" t="s">
        <v>40</v>
      </c>
      <c r="S115">
        <v>25</v>
      </c>
      <c r="T115">
        <v>32</v>
      </c>
      <c r="U115">
        <v>31</v>
      </c>
      <c r="V115">
        <v>1002</v>
      </c>
      <c r="W115">
        <v>27</v>
      </c>
      <c r="X115" t="s">
        <v>20</v>
      </c>
      <c r="Y115" s="10">
        <v>0</v>
      </c>
      <c r="Z115">
        <f t="shared" si="1"/>
        <v>6800</v>
      </c>
      <c r="AA115" s="7">
        <v>4000</v>
      </c>
      <c r="AB115">
        <v>0</v>
      </c>
    </row>
    <row r="116" spans="1:28">
      <c r="A116" t="s">
        <v>135</v>
      </c>
      <c r="B116">
        <v>-9</v>
      </c>
      <c r="C116">
        <v>279.2</v>
      </c>
      <c r="D116" s="7">
        <v>3200</v>
      </c>
      <c r="E116">
        <v>64</v>
      </c>
      <c r="F116">
        <v>11</v>
      </c>
      <c r="G116">
        <v>49</v>
      </c>
      <c r="H116">
        <v>1200</v>
      </c>
      <c r="I116">
        <v>1377</v>
      </c>
      <c r="J116">
        <v>70</v>
      </c>
      <c r="K116">
        <v>70</v>
      </c>
      <c r="L116">
        <v>45</v>
      </c>
      <c r="M116" s="6">
        <v>64</v>
      </c>
      <c r="N116" s="6">
        <v>414</v>
      </c>
      <c r="O116" s="1">
        <v>45.1</v>
      </c>
      <c r="P116">
        <v>45</v>
      </c>
      <c r="Q116" s="1">
        <v>45.1</v>
      </c>
      <c r="R116" s="1" t="s">
        <v>40</v>
      </c>
      <c r="S116">
        <v>25</v>
      </c>
      <c r="T116">
        <v>34</v>
      </c>
      <c r="U116">
        <v>31</v>
      </c>
      <c r="V116">
        <v>1048</v>
      </c>
      <c r="W116">
        <v>25</v>
      </c>
      <c r="X116" t="s">
        <v>20</v>
      </c>
      <c r="Y116" s="10">
        <v>0</v>
      </c>
      <c r="Z116">
        <f t="shared" si="1"/>
        <v>6800</v>
      </c>
      <c r="AA116" s="7">
        <v>4000</v>
      </c>
      <c r="AB116">
        <v>0</v>
      </c>
    </row>
    <row r="117" spans="1:28">
      <c r="A117" t="s">
        <v>136</v>
      </c>
      <c r="B117">
        <v>-11</v>
      </c>
      <c r="C117">
        <v>280.39999999999998</v>
      </c>
      <c r="D117" s="7">
        <v>3600</v>
      </c>
      <c r="E117">
        <v>59</v>
      </c>
      <c r="F117">
        <v>12</v>
      </c>
      <c r="G117">
        <v>49</v>
      </c>
      <c r="H117">
        <v>1200</v>
      </c>
      <c r="I117">
        <v>1323</v>
      </c>
      <c r="J117">
        <v>68</v>
      </c>
      <c r="K117">
        <v>68</v>
      </c>
      <c r="L117">
        <v>44</v>
      </c>
      <c r="M117" s="6" t="s">
        <v>40</v>
      </c>
      <c r="N117" s="6" t="s">
        <v>40</v>
      </c>
      <c r="O117" s="1">
        <v>43.8</v>
      </c>
      <c r="P117">
        <v>44</v>
      </c>
      <c r="Q117" s="1">
        <v>43.8</v>
      </c>
      <c r="R117" s="1" t="s">
        <v>40</v>
      </c>
      <c r="S117">
        <v>26</v>
      </c>
      <c r="T117">
        <v>35</v>
      </c>
      <c r="U117">
        <v>46</v>
      </c>
      <c r="V117">
        <v>1593</v>
      </c>
      <c r="W117">
        <v>30</v>
      </c>
      <c r="X117" t="s">
        <v>20</v>
      </c>
      <c r="Y117" s="10">
        <v>0</v>
      </c>
      <c r="Z117">
        <f t="shared" si="1"/>
        <v>6800</v>
      </c>
      <c r="AA117" s="7">
        <v>4000</v>
      </c>
      <c r="AB117">
        <v>0</v>
      </c>
    </row>
    <row r="118" spans="1:28">
      <c r="A118" t="s">
        <v>137</v>
      </c>
      <c r="B118">
        <v>-13</v>
      </c>
      <c r="C118">
        <v>281.7</v>
      </c>
      <c r="D118" s="7">
        <v>3600</v>
      </c>
      <c r="E118">
        <v>56</v>
      </c>
      <c r="F118">
        <v>12</v>
      </c>
      <c r="G118">
        <v>52</v>
      </c>
      <c r="H118">
        <v>1200</v>
      </c>
      <c r="I118">
        <v>1293</v>
      </c>
      <c r="J118">
        <v>68</v>
      </c>
      <c r="K118">
        <v>68</v>
      </c>
      <c r="L118">
        <v>43</v>
      </c>
      <c r="M118" s="6">
        <v>55.5</v>
      </c>
      <c r="N118" s="6">
        <v>340</v>
      </c>
      <c r="O118" s="1">
        <v>42.6</v>
      </c>
      <c r="P118">
        <v>43</v>
      </c>
      <c r="Q118" s="1">
        <v>42.6</v>
      </c>
      <c r="R118" s="1" t="s">
        <v>40</v>
      </c>
      <c r="S118">
        <v>26</v>
      </c>
      <c r="T118">
        <v>35</v>
      </c>
      <c r="U118">
        <v>46</v>
      </c>
      <c r="V118">
        <v>1616</v>
      </c>
      <c r="W118">
        <v>29</v>
      </c>
      <c r="X118" t="s">
        <v>20</v>
      </c>
      <c r="Y118" s="10">
        <v>0</v>
      </c>
      <c r="Z118">
        <f t="shared" si="1"/>
        <v>6800</v>
      </c>
      <c r="AA118" s="7">
        <v>4000</v>
      </c>
      <c r="AB118">
        <v>0</v>
      </c>
    </row>
    <row r="119" spans="1:28">
      <c r="A119" t="s">
        <v>138</v>
      </c>
      <c r="B119">
        <v>-17</v>
      </c>
      <c r="C119">
        <v>285.89999999999998</v>
      </c>
      <c r="D119" s="7">
        <v>4100</v>
      </c>
      <c r="E119">
        <v>38</v>
      </c>
      <c r="F119">
        <v>17</v>
      </c>
      <c r="G119">
        <v>50</v>
      </c>
      <c r="H119">
        <v>1200</v>
      </c>
      <c r="I119">
        <v>1139</v>
      </c>
      <c r="J119">
        <v>58</v>
      </c>
      <c r="K119">
        <v>58</v>
      </c>
      <c r="L119">
        <v>34</v>
      </c>
      <c r="M119" s="6">
        <v>37.799999999999997</v>
      </c>
      <c r="N119" s="6">
        <v>405</v>
      </c>
      <c r="O119" s="1">
        <v>34.4</v>
      </c>
      <c r="P119">
        <v>34</v>
      </c>
      <c r="Q119" s="1">
        <v>34.4</v>
      </c>
      <c r="R119" s="1" t="s">
        <v>40</v>
      </c>
      <c r="S119">
        <v>24</v>
      </c>
      <c r="T119">
        <v>34</v>
      </c>
      <c r="U119">
        <v>52</v>
      </c>
      <c r="V119">
        <v>1783</v>
      </c>
      <c r="W119">
        <v>27</v>
      </c>
      <c r="X119" t="s">
        <v>20</v>
      </c>
      <c r="Y119" s="10">
        <v>0</v>
      </c>
      <c r="Z119">
        <f t="shared" si="1"/>
        <v>6800</v>
      </c>
      <c r="AA119" s="7">
        <v>4000</v>
      </c>
      <c r="AB119">
        <v>0</v>
      </c>
    </row>
    <row r="120" spans="1:28">
      <c r="A120" t="s">
        <v>139</v>
      </c>
      <c r="B120">
        <v>-19</v>
      </c>
      <c r="C120">
        <v>288</v>
      </c>
      <c r="D120" s="7">
        <v>4100</v>
      </c>
      <c r="E120">
        <v>56</v>
      </c>
      <c r="F120">
        <v>25</v>
      </c>
      <c r="G120">
        <v>41</v>
      </c>
      <c r="H120">
        <v>1200</v>
      </c>
      <c r="I120">
        <v>1126</v>
      </c>
      <c r="J120">
        <v>63</v>
      </c>
      <c r="K120">
        <v>73</v>
      </c>
      <c r="L120">
        <v>44</v>
      </c>
      <c r="M120" s="6">
        <v>56.4</v>
      </c>
      <c r="N120" s="6">
        <v>337</v>
      </c>
      <c r="O120" s="1">
        <v>43.6</v>
      </c>
      <c r="P120">
        <v>35</v>
      </c>
      <c r="Q120" s="1">
        <v>34.6</v>
      </c>
      <c r="R120" s="1">
        <v>9.3000000000000007</v>
      </c>
      <c r="S120">
        <v>29</v>
      </c>
      <c r="T120">
        <v>38</v>
      </c>
      <c r="U120">
        <v>54</v>
      </c>
      <c r="V120">
        <v>2036</v>
      </c>
      <c r="W120">
        <v>27</v>
      </c>
      <c r="X120" t="s">
        <v>20</v>
      </c>
      <c r="Y120" s="10">
        <v>0</v>
      </c>
      <c r="Z120">
        <f t="shared" si="1"/>
        <v>6800</v>
      </c>
      <c r="AA120" s="7">
        <v>4000</v>
      </c>
      <c r="AB120">
        <v>0</v>
      </c>
    </row>
    <row r="121" spans="1:28">
      <c r="A121" t="s">
        <v>140</v>
      </c>
      <c r="B121">
        <v>-21</v>
      </c>
      <c r="C121">
        <v>288.7</v>
      </c>
      <c r="D121" s="7">
        <v>3900</v>
      </c>
      <c r="E121">
        <v>84</v>
      </c>
      <c r="F121">
        <v>23</v>
      </c>
      <c r="G121">
        <v>40</v>
      </c>
      <c r="H121">
        <v>1100</v>
      </c>
      <c r="I121">
        <v>1168</v>
      </c>
      <c r="J121">
        <v>72</v>
      </c>
      <c r="K121">
        <v>78</v>
      </c>
      <c r="L121">
        <v>48</v>
      </c>
      <c r="M121" s="6">
        <v>84.4</v>
      </c>
      <c r="N121" s="6">
        <v>320</v>
      </c>
      <c r="O121" s="1">
        <v>47.9</v>
      </c>
      <c r="P121">
        <v>42</v>
      </c>
      <c r="Q121" s="1">
        <v>41.9</v>
      </c>
      <c r="R121" s="1">
        <v>6</v>
      </c>
      <c r="S121">
        <v>30</v>
      </c>
      <c r="T121">
        <v>42</v>
      </c>
      <c r="U121">
        <v>55</v>
      </c>
      <c r="V121">
        <v>2285</v>
      </c>
      <c r="W121">
        <v>29</v>
      </c>
      <c r="X121" t="s">
        <v>20</v>
      </c>
      <c r="Y121" s="10">
        <v>0</v>
      </c>
      <c r="Z121">
        <f t="shared" si="1"/>
        <v>6800</v>
      </c>
      <c r="AA121" s="7">
        <v>4000</v>
      </c>
      <c r="AB121">
        <v>0</v>
      </c>
    </row>
    <row r="122" spans="1:28">
      <c r="A122" t="s">
        <v>141</v>
      </c>
      <c r="B122">
        <v>-23</v>
      </c>
      <c r="C122">
        <v>288.7</v>
      </c>
      <c r="D122" s="7">
        <v>3900</v>
      </c>
      <c r="E122">
        <v>95</v>
      </c>
      <c r="F122">
        <v>18</v>
      </c>
      <c r="G122">
        <v>45</v>
      </c>
      <c r="H122">
        <v>1000</v>
      </c>
      <c r="I122">
        <v>1175</v>
      </c>
      <c r="J122">
        <v>71</v>
      </c>
      <c r="K122">
        <v>75</v>
      </c>
      <c r="L122">
        <v>47</v>
      </c>
      <c r="M122" s="6">
        <v>94.7</v>
      </c>
      <c r="N122" s="6">
        <v>390</v>
      </c>
      <c r="O122" s="1">
        <v>46.6</v>
      </c>
      <c r="P122">
        <v>42</v>
      </c>
      <c r="Q122" s="1">
        <v>41.8</v>
      </c>
      <c r="R122" s="1">
        <v>4.7</v>
      </c>
      <c r="S122">
        <v>30</v>
      </c>
      <c r="T122">
        <v>40</v>
      </c>
      <c r="U122">
        <v>54</v>
      </c>
      <c r="V122">
        <v>2176</v>
      </c>
      <c r="W122">
        <v>28</v>
      </c>
      <c r="X122" t="s">
        <v>20</v>
      </c>
      <c r="Y122" s="10">
        <v>0</v>
      </c>
      <c r="Z122">
        <f t="shared" si="1"/>
        <v>6800</v>
      </c>
      <c r="AA122" s="7">
        <v>4000</v>
      </c>
      <c r="AB122">
        <v>0</v>
      </c>
    </row>
    <row r="123" spans="1:28">
      <c r="A123" t="s">
        <v>142</v>
      </c>
      <c r="B123">
        <v>-25</v>
      </c>
      <c r="C123">
        <v>288.60000000000002</v>
      </c>
      <c r="D123" s="7">
        <v>3700</v>
      </c>
      <c r="E123">
        <v>93</v>
      </c>
      <c r="F123">
        <v>17</v>
      </c>
      <c r="G123">
        <v>47</v>
      </c>
      <c r="H123">
        <v>900</v>
      </c>
      <c r="I123">
        <v>1173</v>
      </c>
      <c r="J123">
        <v>71</v>
      </c>
      <c r="K123">
        <v>77</v>
      </c>
      <c r="L123">
        <v>47</v>
      </c>
      <c r="M123" s="6">
        <v>93.3</v>
      </c>
      <c r="N123" s="6">
        <v>295</v>
      </c>
      <c r="O123" s="1">
        <v>46.9</v>
      </c>
      <c r="P123">
        <v>41</v>
      </c>
      <c r="Q123" s="1">
        <v>41</v>
      </c>
      <c r="R123" s="1">
        <v>5.8</v>
      </c>
      <c r="S123">
        <v>30</v>
      </c>
      <c r="T123">
        <v>41</v>
      </c>
      <c r="U123">
        <v>53</v>
      </c>
      <c r="V123">
        <v>2156</v>
      </c>
      <c r="W123">
        <v>28</v>
      </c>
      <c r="X123" t="s">
        <v>20</v>
      </c>
      <c r="Y123" s="10">
        <v>0</v>
      </c>
      <c r="Z123">
        <f t="shared" si="1"/>
        <v>6800</v>
      </c>
      <c r="AA123" s="7">
        <v>4000</v>
      </c>
      <c r="AB123">
        <v>0</v>
      </c>
    </row>
    <row r="124" spans="1:28">
      <c r="A124" t="s">
        <v>143</v>
      </c>
      <c r="B124">
        <v>-27</v>
      </c>
      <c r="C124">
        <v>288.3</v>
      </c>
      <c r="D124" s="7">
        <v>3700</v>
      </c>
      <c r="E124">
        <v>101</v>
      </c>
      <c r="F124">
        <v>14</v>
      </c>
      <c r="G124">
        <v>49</v>
      </c>
      <c r="H124">
        <v>800</v>
      </c>
      <c r="I124">
        <v>1239</v>
      </c>
      <c r="J124">
        <v>68</v>
      </c>
      <c r="K124">
        <v>73</v>
      </c>
      <c r="L124">
        <v>45</v>
      </c>
      <c r="M124" s="6">
        <v>101.1</v>
      </c>
      <c r="N124" s="6">
        <v>261</v>
      </c>
      <c r="O124" s="1">
        <v>45.1</v>
      </c>
      <c r="P124">
        <v>39</v>
      </c>
      <c r="Q124" s="1">
        <v>39.4</v>
      </c>
      <c r="R124" s="1">
        <v>5.5</v>
      </c>
      <c r="S124">
        <v>29</v>
      </c>
      <c r="T124">
        <v>37</v>
      </c>
      <c r="U124">
        <v>52</v>
      </c>
      <c r="V124">
        <v>1910</v>
      </c>
      <c r="W124">
        <v>29</v>
      </c>
      <c r="X124" t="s">
        <v>20</v>
      </c>
      <c r="Y124" s="10">
        <v>0</v>
      </c>
      <c r="Z124">
        <f t="shared" si="1"/>
        <v>6800</v>
      </c>
      <c r="AA124" s="7">
        <v>4000</v>
      </c>
      <c r="AB124">
        <v>0</v>
      </c>
    </row>
    <row r="125" spans="1:28">
      <c r="A125" t="s">
        <v>144</v>
      </c>
      <c r="B125">
        <v>-29</v>
      </c>
      <c r="C125">
        <v>287.7</v>
      </c>
      <c r="D125" s="7">
        <v>3700</v>
      </c>
      <c r="E125">
        <v>99</v>
      </c>
      <c r="F125">
        <v>13.5</v>
      </c>
      <c r="G125" t="s">
        <v>40</v>
      </c>
      <c r="H125">
        <v>670</v>
      </c>
      <c r="I125">
        <v>980</v>
      </c>
      <c r="J125">
        <v>69</v>
      </c>
      <c r="K125">
        <v>75</v>
      </c>
      <c r="L125">
        <v>45</v>
      </c>
      <c r="M125" s="6">
        <v>99.4</v>
      </c>
      <c r="N125" s="6">
        <v>843</v>
      </c>
      <c r="O125" s="1">
        <v>44.6</v>
      </c>
      <c r="P125">
        <v>39</v>
      </c>
      <c r="Q125" s="1">
        <v>38.9</v>
      </c>
      <c r="R125" s="1">
        <v>5.2</v>
      </c>
      <c r="S125">
        <v>30</v>
      </c>
      <c r="T125">
        <v>47</v>
      </c>
      <c r="U125">
        <v>49</v>
      </c>
      <c r="V125">
        <v>2322</v>
      </c>
      <c r="W125">
        <v>23</v>
      </c>
      <c r="X125" t="s">
        <v>20</v>
      </c>
      <c r="Y125" s="10">
        <v>0</v>
      </c>
      <c r="Z125">
        <f t="shared" si="1"/>
        <v>6800</v>
      </c>
      <c r="AA125" s="7">
        <v>4000</v>
      </c>
      <c r="AB125">
        <v>0</v>
      </c>
    </row>
    <row r="126" spans="1:28">
      <c r="A126" t="s">
        <v>145</v>
      </c>
      <c r="B126">
        <v>-32</v>
      </c>
      <c r="C126">
        <v>287.39999999999998</v>
      </c>
      <c r="D126" s="7">
        <v>3700</v>
      </c>
      <c r="E126">
        <v>95</v>
      </c>
      <c r="F126">
        <v>12</v>
      </c>
      <c r="G126" t="s">
        <v>40</v>
      </c>
      <c r="H126">
        <v>670</v>
      </c>
      <c r="I126">
        <v>1000</v>
      </c>
      <c r="J126">
        <v>72</v>
      </c>
      <c r="K126">
        <v>77</v>
      </c>
      <c r="L126">
        <v>46</v>
      </c>
      <c r="M126" s="6">
        <v>94.8</v>
      </c>
      <c r="N126" s="6">
        <v>298</v>
      </c>
      <c r="O126" s="1">
        <v>45.7</v>
      </c>
      <c r="P126">
        <v>39</v>
      </c>
      <c r="Q126" s="1">
        <v>38.799999999999997</v>
      </c>
      <c r="R126" s="1">
        <v>5.2</v>
      </c>
      <c r="S126">
        <v>32</v>
      </c>
      <c r="T126">
        <v>48</v>
      </c>
      <c r="U126">
        <v>48</v>
      </c>
      <c r="V126">
        <v>2299</v>
      </c>
      <c r="W126">
        <v>23</v>
      </c>
      <c r="X126" t="s">
        <v>20</v>
      </c>
      <c r="Y126" s="10">
        <v>0</v>
      </c>
      <c r="Z126">
        <f t="shared" si="1"/>
        <v>6800</v>
      </c>
      <c r="AA126" s="7">
        <v>4000</v>
      </c>
      <c r="AB126">
        <v>0</v>
      </c>
    </row>
    <row r="127" spans="1:28">
      <c r="A127" t="s">
        <v>146</v>
      </c>
      <c r="B127">
        <v>-34</v>
      </c>
      <c r="C127">
        <v>286.89999999999998</v>
      </c>
      <c r="D127" s="7">
        <v>3400</v>
      </c>
      <c r="E127">
        <v>113</v>
      </c>
      <c r="F127">
        <v>21</v>
      </c>
      <c r="G127">
        <v>35</v>
      </c>
      <c r="H127">
        <v>670</v>
      </c>
      <c r="I127">
        <v>1299</v>
      </c>
      <c r="J127">
        <v>66</v>
      </c>
      <c r="K127">
        <v>66</v>
      </c>
      <c r="L127">
        <v>39</v>
      </c>
      <c r="M127" s="6">
        <v>113.3</v>
      </c>
      <c r="N127" s="6">
        <v>399</v>
      </c>
      <c r="O127" s="1">
        <v>38.9</v>
      </c>
      <c r="P127">
        <v>39</v>
      </c>
      <c r="Q127" s="1">
        <v>38.9</v>
      </c>
      <c r="R127" s="1" t="s">
        <v>40</v>
      </c>
      <c r="S127">
        <v>27</v>
      </c>
      <c r="T127">
        <v>34</v>
      </c>
      <c r="U127">
        <v>42</v>
      </c>
      <c r="V127">
        <v>1423</v>
      </c>
      <c r="W127">
        <v>28</v>
      </c>
      <c r="X127" t="s">
        <v>20</v>
      </c>
      <c r="Y127" s="10">
        <v>0</v>
      </c>
      <c r="Z127">
        <f t="shared" si="1"/>
        <v>6800</v>
      </c>
      <c r="AA127" s="7">
        <v>4000</v>
      </c>
      <c r="AB127">
        <v>0</v>
      </c>
    </row>
    <row r="128" spans="1:28">
      <c r="A128" t="s">
        <v>147</v>
      </c>
      <c r="B128">
        <v>-35.5</v>
      </c>
      <c r="C128">
        <v>286.2</v>
      </c>
      <c r="D128" s="7">
        <v>2050</v>
      </c>
      <c r="E128">
        <v>118</v>
      </c>
      <c r="F128">
        <v>22</v>
      </c>
      <c r="G128" t="s">
        <v>40</v>
      </c>
      <c r="H128" t="s">
        <v>40</v>
      </c>
      <c r="I128" t="s">
        <v>40</v>
      </c>
      <c r="J128">
        <v>62</v>
      </c>
      <c r="K128">
        <v>62</v>
      </c>
      <c r="L128">
        <v>37</v>
      </c>
      <c r="M128" s="6">
        <v>118.4</v>
      </c>
      <c r="N128" s="6">
        <v>340</v>
      </c>
      <c r="O128" s="1">
        <v>36.5</v>
      </c>
      <c r="P128">
        <v>37</v>
      </c>
      <c r="Q128" s="1">
        <v>36.5</v>
      </c>
      <c r="R128" s="1" t="s">
        <v>40</v>
      </c>
      <c r="S128">
        <v>25</v>
      </c>
      <c r="T128" t="s">
        <v>40</v>
      </c>
      <c r="U128">
        <v>39</v>
      </c>
      <c r="V128" t="s">
        <v>40</v>
      </c>
      <c r="W128" t="s">
        <v>40</v>
      </c>
      <c r="X128" t="s">
        <v>20</v>
      </c>
      <c r="Y128" s="10">
        <v>0</v>
      </c>
      <c r="Z128">
        <f t="shared" si="1"/>
        <v>6800</v>
      </c>
      <c r="AA128" s="7">
        <v>4000</v>
      </c>
      <c r="AB128">
        <v>0</v>
      </c>
    </row>
    <row r="129" spans="1:28">
      <c r="A129" t="s">
        <v>148</v>
      </c>
      <c r="B129">
        <v>-37</v>
      </c>
      <c r="C129">
        <v>285.39999999999998</v>
      </c>
      <c r="D129" s="7">
        <v>1700</v>
      </c>
      <c r="E129">
        <v>105</v>
      </c>
      <c r="F129">
        <v>24</v>
      </c>
      <c r="G129" t="s">
        <v>40</v>
      </c>
      <c r="H129" t="s">
        <v>40</v>
      </c>
      <c r="I129" t="s">
        <v>40</v>
      </c>
      <c r="J129">
        <v>72</v>
      </c>
      <c r="K129">
        <v>72</v>
      </c>
      <c r="L129">
        <v>42</v>
      </c>
      <c r="M129" s="6">
        <v>105</v>
      </c>
      <c r="N129" s="6">
        <v>384</v>
      </c>
      <c r="O129" s="1">
        <v>42</v>
      </c>
      <c r="P129">
        <v>42</v>
      </c>
      <c r="Q129" s="1">
        <v>42</v>
      </c>
      <c r="R129" s="1" t="s">
        <v>40</v>
      </c>
      <c r="S129">
        <v>31</v>
      </c>
      <c r="T129" t="s">
        <v>40</v>
      </c>
      <c r="U129">
        <v>35</v>
      </c>
      <c r="V129" t="s">
        <v>40</v>
      </c>
      <c r="W129" t="s">
        <v>40</v>
      </c>
      <c r="X129" t="s">
        <v>20</v>
      </c>
      <c r="Y129" s="10">
        <v>0</v>
      </c>
      <c r="Z129">
        <f t="shared" si="1"/>
        <v>6800</v>
      </c>
      <c r="AA129" s="7">
        <v>4000</v>
      </c>
      <c r="AB129">
        <v>0</v>
      </c>
    </row>
    <row r="130" spans="1:28">
      <c r="A130" t="s">
        <v>149</v>
      </c>
      <c r="B130">
        <v>-39</v>
      </c>
      <c r="C130">
        <v>284.89999999999998</v>
      </c>
      <c r="D130" s="7">
        <v>1200</v>
      </c>
      <c r="E130">
        <v>99</v>
      </c>
      <c r="F130">
        <v>25</v>
      </c>
      <c r="G130" t="s">
        <v>40</v>
      </c>
      <c r="H130" t="s">
        <v>40</v>
      </c>
      <c r="I130" t="s">
        <v>40</v>
      </c>
      <c r="J130">
        <v>75</v>
      </c>
      <c r="K130">
        <v>75</v>
      </c>
      <c r="L130">
        <v>43</v>
      </c>
      <c r="M130" s="6">
        <v>99</v>
      </c>
      <c r="N130" s="6">
        <v>350</v>
      </c>
      <c r="O130" s="1">
        <v>43</v>
      </c>
      <c r="P130">
        <v>43</v>
      </c>
      <c r="Q130" s="1">
        <v>43</v>
      </c>
      <c r="R130" s="1" t="s">
        <v>40</v>
      </c>
      <c r="S130">
        <v>33</v>
      </c>
      <c r="T130" t="s">
        <v>40</v>
      </c>
      <c r="U130">
        <v>33</v>
      </c>
      <c r="V130" t="s">
        <v>40</v>
      </c>
      <c r="W130" t="s">
        <v>40</v>
      </c>
      <c r="X130" t="s">
        <v>20</v>
      </c>
      <c r="Y130" s="10">
        <v>0</v>
      </c>
      <c r="Z130">
        <f t="shared" si="1"/>
        <v>6800</v>
      </c>
      <c r="AA130" s="7">
        <v>4000</v>
      </c>
      <c r="AB130">
        <v>0</v>
      </c>
    </row>
    <row r="131" spans="1:28">
      <c r="A131" t="s">
        <v>150</v>
      </c>
      <c r="B131">
        <v>-41</v>
      </c>
      <c r="C131">
        <v>284.7</v>
      </c>
      <c r="D131" s="7">
        <v>700</v>
      </c>
      <c r="E131">
        <v>97</v>
      </c>
      <c r="F131">
        <v>25</v>
      </c>
      <c r="G131" t="s">
        <v>40</v>
      </c>
      <c r="H131" t="s">
        <v>40</v>
      </c>
      <c r="I131" t="s">
        <v>40</v>
      </c>
      <c r="J131">
        <v>75</v>
      </c>
      <c r="K131">
        <v>75</v>
      </c>
      <c r="L131">
        <v>43</v>
      </c>
      <c r="M131" s="6">
        <v>97</v>
      </c>
      <c r="N131" s="6">
        <v>356</v>
      </c>
      <c r="O131" s="1">
        <v>43.3</v>
      </c>
      <c r="P131">
        <v>43</v>
      </c>
      <c r="Q131" s="1">
        <v>43.3</v>
      </c>
      <c r="R131" s="1" t="s">
        <v>40</v>
      </c>
      <c r="S131">
        <v>33</v>
      </c>
      <c r="T131" t="s">
        <v>40</v>
      </c>
      <c r="U131">
        <v>20</v>
      </c>
      <c r="V131" t="s">
        <v>40</v>
      </c>
      <c r="W131" t="s">
        <v>40</v>
      </c>
      <c r="X131" t="s">
        <v>20</v>
      </c>
      <c r="Y131" s="10">
        <v>0</v>
      </c>
      <c r="Z131">
        <f t="shared" si="1"/>
        <v>6800</v>
      </c>
      <c r="AA131" s="7">
        <v>4000</v>
      </c>
      <c r="AB131">
        <v>0</v>
      </c>
    </row>
    <row r="132" spans="1:28">
      <c r="A132" t="s">
        <v>151</v>
      </c>
      <c r="B132">
        <v>12</v>
      </c>
      <c r="C132">
        <v>302.60000000000002</v>
      </c>
      <c r="D132" s="7">
        <v>1400</v>
      </c>
      <c r="E132">
        <v>278</v>
      </c>
      <c r="F132">
        <v>32</v>
      </c>
      <c r="G132" t="s">
        <v>40</v>
      </c>
      <c r="H132">
        <v>670</v>
      </c>
      <c r="I132">
        <v>930</v>
      </c>
      <c r="J132">
        <v>12</v>
      </c>
      <c r="K132">
        <v>12</v>
      </c>
      <c r="L132">
        <v>-28</v>
      </c>
      <c r="M132" s="6" t="s">
        <v>40</v>
      </c>
      <c r="N132" s="6" t="s">
        <v>40</v>
      </c>
      <c r="O132" s="1">
        <v>-28.1</v>
      </c>
      <c r="P132">
        <v>-28</v>
      </c>
      <c r="Q132" s="1">
        <v>-28.1</v>
      </c>
      <c r="R132" s="1" t="s">
        <v>40</v>
      </c>
      <c r="S132">
        <v>41</v>
      </c>
      <c r="T132">
        <v>8</v>
      </c>
      <c r="U132">
        <v>117</v>
      </c>
      <c r="V132">
        <v>969</v>
      </c>
      <c r="W132">
        <v>33</v>
      </c>
      <c r="X132" t="s">
        <v>152</v>
      </c>
      <c r="Y132">
        <v>1</v>
      </c>
      <c r="Z132">
        <v>1850</v>
      </c>
      <c r="AA132" s="7">
        <v>1500</v>
      </c>
      <c r="AB132">
        <v>0</v>
      </c>
    </row>
    <row r="133" spans="1:28">
      <c r="A133" t="s">
        <v>153</v>
      </c>
      <c r="B133">
        <v>14</v>
      </c>
      <c r="C133">
        <v>302.3</v>
      </c>
      <c r="D133" s="7">
        <v>1400</v>
      </c>
      <c r="E133">
        <v>251</v>
      </c>
      <c r="F133">
        <v>36</v>
      </c>
      <c r="G133">
        <v>55</v>
      </c>
      <c r="H133">
        <v>670</v>
      </c>
      <c r="I133">
        <v>878</v>
      </c>
      <c r="J133">
        <v>12</v>
      </c>
      <c r="K133">
        <v>12</v>
      </c>
      <c r="L133">
        <v>-30</v>
      </c>
      <c r="M133" s="6" t="s">
        <v>40</v>
      </c>
      <c r="N133" s="6" t="s">
        <v>40</v>
      </c>
      <c r="O133" s="1">
        <v>-29.8</v>
      </c>
      <c r="P133">
        <v>-30</v>
      </c>
      <c r="Q133" s="1">
        <v>-29.8</v>
      </c>
      <c r="R133" s="1" t="s">
        <v>40</v>
      </c>
      <c r="S133">
        <v>42</v>
      </c>
      <c r="T133">
        <v>9</v>
      </c>
      <c r="U133">
        <v>110</v>
      </c>
      <c r="V133">
        <v>999</v>
      </c>
      <c r="W133">
        <v>30</v>
      </c>
      <c r="X133" t="s">
        <v>152</v>
      </c>
      <c r="Y133">
        <v>1</v>
      </c>
      <c r="Z133">
        <v>1850</v>
      </c>
      <c r="AA133" s="7">
        <v>1500</v>
      </c>
      <c r="AB133">
        <v>0</v>
      </c>
    </row>
    <row r="134" spans="1:28">
      <c r="A134" t="s">
        <v>154</v>
      </c>
      <c r="B134">
        <v>16</v>
      </c>
      <c r="C134">
        <v>301.2</v>
      </c>
      <c r="D134" s="7">
        <v>1300</v>
      </c>
      <c r="E134">
        <v>250</v>
      </c>
      <c r="F134">
        <v>39</v>
      </c>
      <c r="G134" t="s">
        <v>40</v>
      </c>
      <c r="H134">
        <v>670</v>
      </c>
      <c r="I134">
        <v>900</v>
      </c>
      <c r="J134">
        <v>11</v>
      </c>
      <c r="K134">
        <v>11</v>
      </c>
      <c r="L134">
        <v>-31</v>
      </c>
      <c r="M134" s="6">
        <v>250</v>
      </c>
      <c r="N134" s="6">
        <v>250</v>
      </c>
      <c r="O134" s="1">
        <v>-31</v>
      </c>
      <c r="P134">
        <v>-31</v>
      </c>
      <c r="Q134" s="1">
        <v>-31</v>
      </c>
      <c r="R134" s="1" t="s">
        <v>40</v>
      </c>
      <c r="S134">
        <v>42</v>
      </c>
      <c r="T134">
        <v>8</v>
      </c>
      <c r="U134">
        <v>98</v>
      </c>
      <c r="V134">
        <v>788</v>
      </c>
      <c r="W134">
        <v>29</v>
      </c>
      <c r="X134" t="s">
        <v>152</v>
      </c>
      <c r="Y134" s="10">
        <v>0</v>
      </c>
      <c r="Z134">
        <v>1850</v>
      </c>
      <c r="AA134" s="7">
        <v>1500</v>
      </c>
      <c r="AB134">
        <v>0</v>
      </c>
    </row>
    <row r="135" spans="1:28">
      <c r="A135" t="s">
        <v>155</v>
      </c>
      <c r="B135">
        <v>18</v>
      </c>
      <c r="C135">
        <v>299.8</v>
      </c>
      <c r="D135" s="7">
        <v>1300</v>
      </c>
      <c r="E135">
        <v>230</v>
      </c>
      <c r="F135">
        <v>37</v>
      </c>
      <c r="G135" t="s">
        <v>40</v>
      </c>
      <c r="H135">
        <v>670</v>
      </c>
      <c r="I135">
        <v>870</v>
      </c>
      <c r="J135">
        <v>9</v>
      </c>
      <c r="K135">
        <v>9</v>
      </c>
      <c r="L135">
        <v>-28</v>
      </c>
      <c r="M135" s="6">
        <v>230</v>
      </c>
      <c r="N135" s="6">
        <v>263</v>
      </c>
      <c r="O135" s="1">
        <v>-27.6</v>
      </c>
      <c r="P135">
        <v>-28</v>
      </c>
      <c r="Q135" s="1">
        <v>-27.6</v>
      </c>
      <c r="R135" s="1" t="s">
        <v>40</v>
      </c>
      <c r="S135">
        <v>37</v>
      </c>
      <c r="T135">
        <v>7</v>
      </c>
      <c r="U135">
        <v>90</v>
      </c>
      <c r="V135">
        <v>652</v>
      </c>
      <c r="W135">
        <v>27</v>
      </c>
      <c r="X135" t="s">
        <v>152</v>
      </c>
      <c r="Y135" s="10">
        <v>0</v>
      </c>
      <c r="Z135">
        <v>1850</v>
      </c>
      <c r="AA135" s="7">
        <v>1500</v>
      </c>
      <c r="AB135">
        <v>0</v>
      </c>
    </row>
    <row r="136" spans="1:28">
      <c r="A136" t="s">
        <v>156</v>
      </c>
      <c r="B136">
        <v>19.3</v>
      </c>
      <c r="C136">
        <v>298</v>
      </c>
      <c r="D136" s="7">
        <v>1300</v>
      </c>
      <c r="E136">
        <v>205</v>
      </c>
      <c r="F136">
        <v>35</v>
      </c>
      <c r="G136" t="s">
        <v>40</v>
      </c>
      <c r="H136">
        <v>500</v>
      </c>
      <c r="I136">
        <v>660</v>
      </c>
      <c r="J136">
        <v>6</v>
      </c>
      <c r="K136">
        <v>6</v>
      </c>
      <c r="L136">
        <v>-21</v>
      </c>
      <c r="M136" s="6">
        <v>205</v>
      </c>
      <c r="N136" s="6">
        <v>321</v>
      </c>
      <c r="O136" s="1">
        <v>-30.5</v>
      </c>
      <c r="P136">
        <v>-21</v>
      </c>
      <c r="Q136" s="1">
        <v>-30.5</v>
      </c>
      <c r="R136" s="1" t="s">
        <v>40</v>
      </c>
      <c r="S136">
        <v>26</v>
      </c>
      <c r="T136">
        <v>5</v>
      </c>
      <c r="U136">
        <v>84</v>
      </c>
      <c r="V136">
        <v>395</v>
      </c>
      <c r="W136">
        <v>20</v>
      </c>
      <c r="X136" t="s">
        <v>152</v>
      </c>
      <c r="Y136" s="10">
        <v>0</v>
      </c>
      <c r="Z136">
        <v>1850</v>
      </c>
      <c r="AA136" s="7">
        <v>1500</v>
      </c>
      <c r="AB136">
        <v>0</v>
      </c>
    </row>
    <row r="137" spans="1:28">
      <c r="A137" t="s">
        <v>157</v>
      </c>
      <c r="B137">
        <v>19.8</v>
      </c>
      <c r="C137">
        <v>296</v>
      </c>
      <c r="D137" s="7">
        <v>2100</v>
      </c>
      <c r="E137">
        <v>185</v>
      </c>
      <c r="F137">
        <v>32</v>
      </c>
      <c r="G137" t="s">
        <v>40</v>
      </c>
      <c r="H137">
        <v>500</v>
      </c>
      <c r="I137">
        <v>640</v>
      </c>
      <c r="J137">
        <v>8</v>
      </c>
      <c r="K137">
        <v>3</v>
      </c>
      <c r="L137">
        <v>-12</v>
      </c>
      <c r="M137" s="6">
        <v>185</v>
      </c>
      <c r="N137" s="6">
        <v>212</v>
      </c>
      <c r="O137" s="1">
        <v>-11.7</v>
      </c>
      <c r="P137">
        <v>-7</v>
      </c>
      <c r="Q137" s="1">
        <v>-6.6</v>
      </c>
      <c r="R137" s="1">
        <v>-4.9000000000000004</v>
      </c>
      <c r="S137">
        <v>15</v>
      </c>
      <c r="T137">
        <v>6</v>
      </c>
      <c r="U137">
        <v>92</v>
      </c>
      <c r="V137">
        <v>553</v>
      </c>
      <c r="W137">
        <v>20</v>
      </c>
      <c r="X137" t="s">
        <v>152</v>
      </c>
      <c r="Y137" s="10">
        <v>0</v>
      </c>
      <c r="Z137">
        <v>1850</v>
      </c>
      <c r="AA137" s="7">
        <v>1500</v>
      </c>
      <c r="AB137">
        <v>0</v>
      </c>
    </row>
    <row r="138" spans="1:28">
      <c r="A138" t="s">
        <v>158</v>
      </c>
      <c r="B138">
        <v>19.8</v>
      </c>
      <c r="C138">
        <v>294</v>
      </c>
      <c r="D138" s="7">
        <v>2100</v>
      </c>
      <c r="E138">
        <v>176</v>
      </c>
      <c r="F138">
        <v>35</v>
      </c>
      <c r="G138" t="s">
        <v>40</v>
      </c>
      <c r="H138">
        <v>500</v>
      </c>
      <c r="I138">
        <v>630</v>
      </c>
      <c r="J138">
        <v>5</v>
      </c>
      <c r="K138">
        <v>1</v>
      </c>
      <c r="L138">
        <v>-7</v>
      </c>
      <c r="M138" s="6">
        <v>176</v>
      </c>
      <c r="N138" s="6">
        <v>251</v>
      </c>
      <c r="O138" s="1">
        <v>-7.3</v>
      </c>
      <c r="P138">
        <v>-1</v>
      </c>
      <c r="Q138" s="1">
        <v>-1.3</v>
      </c>
      <c r="R138" s="1">
        <v>-4.0999999999999996</v>
      </c>
      <c r="S138">
        <v>9</v>
      </c>
      <c r="T138">
        <v>4</v>
      </c>
      <c r="U138">
        <v>100</v>
      </c>
      <c r="V138">
        <v>413</v>
      </c>
      <c r="W138">
        <v>21</v>
      </c>
      <c r="X138" t="s">
        <v>152</v>
      </c>
      <c r="Y138" s="10">
        <v>0</v>
      </c>
      <c r="Z138">
        <v>1850</v>
      </c>
      <c r="AA138" s="7">
        <v>1500</v>
      </c>
      <c r="AB138">
        <v>0</v>
      </c>
    </row>
    <row r="139" spans="1:28">
      <c r="A139" t="s">
        <v>159</v>
      </c>
      <c r="B139">
        <v>19.7</v>
      </c>
      <c r="C139">
        <v>292</v>
      </c>
      <c r="D139" s="7">
        <v>2100</v>
      </c>
      <c r="E139">
        <v>176</v>
      </c>
      <c r="F139">
        <v>36</v>
      </c>
      <c r="G139" t="s">
        <v>40</v>
      </c>
      <c r="H139">
        <v>500</v>
      </c>
      <c r="I139">
        <v>600</v>
      </c>
      <c r="J139">
        <v>5</v>
      </c>
      <c r="K139">
        <v>1</v>
      </c>
      <c r="L139">
        <v>-7</v>
      </c>
      <c r="M139" s="6" t="s">
        <v>40</v>
      </c>
      <c r="N139" s="6" t="s">
        <v>40</v>
      </c>
      <c r="O139" s="1">
        <v>-7.3</v>
      </c>
      <c r="P139">
        <v>-1</v>
      </c>
      <c r="Q139" s="1">
        <v>-1.3</v>
      </c>
      <c r="R139" s="1">
        <v>-4</v>
      </c>
      <c r="S139">
        <v>9</v>
      </c>
      <c r="T139">
        <v>4</v>
      </c>
      <c r="U139">
        <v>110</v>
      </c>
      <c r="V139">
        <v>477</v>
      </c>
      <c r="W139">
        <v>21</v>
      </c>
      <c r="X139" t="s">
        <v>152</v>
      </c>
      <c r="Y139">
        <v>1</v>
      </c>
      <c r="Z139">
        <v>1850</v>
      </c>
      <c r="AA139" s="7">
        <v>1500</v>
      </c>
      <c r="AB139">
        <v>0</v>
      </c>
    </row>
    <row r="140" spans="1:28">
      <c r="A140" t="s">
        <v>160</v>
      </c>
      <c r="B140">
        <v>-60</v>
      </c>
      <c r="C140">
        <v>335.4</v>
      </c>
      <c r="D140" s="7">
        <v>1400</v>
      </c>
      <c r="E140">
        <v>319</v>
      </c>
      <c r="F140">
        <v>51</v>
      </c>
      <c r="G140">
        <v>72</v>
      </c>
      <c r="H140">
        <v>670</v>
      </c>
      <c r="I140">
        <v>734</v>
      </c>
      <c r="J140">
        <v>40</v>
      </c>
      <c r="K140">
        <v>6</v>
      </c>
      <c r="L140">
        <v>-16</v>
      </c>
      <c r="M140" s="6" t="s">
        <v>40</v>
      </c>
      <c r="N140" s="6" t="s">
        <v>40</v>
      </c>
      <c r="O140" s="1">
        <v>-15.7</v>
      </c>
      <c r="P140">
        <v>18</v>
      </c>
      <c r="Q140" s="1">
        <v>17.899999999999999</v>
      </c>
      <c r="R140" s="1">
        <v>-33.700000000000003</v>
      </c>
      <c r="S140">
        <v>18</v>
      </c>
      <c r="T140">
        <v>36</v>
      </c>
      <c r="U140">
        <v>33</v>
      </c>
      <c r="V140">
        <v>1193</v>
      </c>
      <c r="W140">
        <v>14</v>
      </c>
      <c r="X140" t="s">
        <v>44</v>
      </c>
      <c r="Y140">
        <v>1</v>
      </c>
      <c r="Z140">
        <v>800</v>
      </c>
      <c r="AA140" s="7">
        <v>1500</v>
      </c>
      <c r="AB140">
        <v>0</v>
      </c>
    </row>
    <row r="141" spans="1:28">
      <c r="A141" t="s">
        <v>161</v>
      </c>
      <c r="B141">
        <v>-58</v>
      </c>
      <c r="C141">
        <v>336.2</v>
      </c>
      <c r="D141" s="7">
        <v>1400</v>
      </c>
      <c r="E141">
        <v>265</v>
      </c>
      <c r="F141">
        <v>50</v>
      </c>
      <c r="G141">
        <v>83</v>
      </c>
      <c r="H141">
        <v>670</v>
      </c>
      <c r="I141">
        <v>712</v>
      </c>
      <c r="J141">
        <v>77</v>
      </c>
      <c r="K141">
        <v>4</v>
      </c>
      <c r="L141">
        <v>-24</v>
      </c>
      <c r="M141" s="6">
        <v>265</v>
      </c>
      <c r="N141" s="6">
        <v>86</v>
      </c>
      <c r="O141" s="1">
        <v>-24.4</v>
      </c>
      <c r="P141">
        <v>49</v>
      </c>
      <c r="Q141" s="1">
        <v>49</v>
      </c>
      <c r="R141" s="1">
        <v>-72.8</v>
      </c>
      <c r="S141">
        <v>29</v>
      </c>
      <c r="T141">
        <v>72</v>
      </c>
      <c r="U141">
        <v>36</v>
      </c>
      <c r="V141">
        <v>2604</v>
      </c>
      <c r="W141">
        <v>14</v>
      </c>
      <c r="X141" t="s">
        <v>44</v>
      </c>
      <c r="Y141">
        <v>1</v>
      </c>
      <c r="Z141">
        <v>800</v>
      </c>
      <c r="AA141" s="7">
        <v>1500</v>
      </c>
      <c r="AB141">
        <v>0</v>
      </c>
    </row>
    <row r="142" spans="1:28">
      <c r="A142" t="s">
        <v>162</v>
      </c>
      <c r="B142">
        <v>-56</v>
      </c>
      <c r="C142">
        <v>334.9</v>
      </c>
      <c r="D142" s="7">
        <v>1400</v>
      </c>
      <c r="E142">
        <v>240</v>
      </c>
      <c r="F142">
        <v>55</v>
      </c>
      <c r="G142">
        <v>84</v>
      </c>
      <c r="H142">
        <v>670</v>
      </c>
      <c r="I142">
        <v>701</v>
      </c>
      <c r="J142">
        <v>69</v>
      </c>
      <c r="K142">
        <v>7</v>
      </c>
      <c r="L142">
        <v>-27</v>
      </c>
      <c r="M142" s="6">
        <v>240</v>
      </c>
      <c r="N142" s="6">
        <v>75</v>
      </c>
      <c r="O142" s="1">
        <v>-26.9</v>
      </c>
      <c r="P142">
        <v>39</v>
      </c>
      <c r="Q142" s="1">
        <v>39.4</v>
      </c>
      <c r="R142" s="1">
        <v>-62.1</v>
      </c>
      <c r="S142">
        <v>33</v>
      </c>
      <c r="T142">
        <v>66</v>
      </c>
      <c r="U142">
        <v>40</v>
      </c>
      <c r="V142">
        <v>2632</v>
      </c>
      <c r="W142">
        <v>15</v>
      </c>
      <c r="X142" t="s">
        <v>44</v>
      </c>
      <c r="Y142">
        <v>1</v>
      </c>
      <c r="Z142">
        <v>800</v>
      </c>
      <c r="AA142" s="7">
        <v>1500</v>
      </c>
      <c r="AB142">
        <v>0</v>
      </c>
    </row>
    <row r="143" spans="1:28">
      <c r="A143" t="s">
        <v>163</v>
      </c>
      <c r="B143">
        <v>-55.1</v>
      </c>
      <c r="C143">
        <v>333</v>
      </c>
      <c r="D143" s="7">
        <v>1400</v>
      </c>
      <c r="E143">
        <v>205</v>
      </c>
      <c r="F143">
        <v>57</v>
      </c>
      <c r="G143">
        <v>86</v>
      </c>
      <c r="H143">
        <v>670</v>
      </c>
      <c r="I143">
        <v>695</v>
      </c>
      <c r="J143">
        <v>36</v>
      </c>
      <c r="K143">
        <v>7</v>
      </c>
      <c r="L143">
        <v>-21</v>
      </c>
      <c r="M143" s="6">
        <v>205</v>
      </c>
      <c r="N143" s="6">
        <v>91</v>
      </c>
      <c r="O143" s="1">
        <v>-20.8</v>
      </c>
      <c r="P143">
        <v>9</v>
      </c>
      <c r="Q143" s="1">
        <v>8.5</v>
      </c>
      <c r="R143" s="1">
        <v>-28.8</v>
      </c>
      <c r="S143">
        <v>27</v>
      </c>
      <c r="T143">
        <v>34</v>
      </c>
      <c r="U143">
        <v>40</v>
      </c>
      <c r="V143">
        <v>1368</v>
      </c>
      <c r="W143">
        <v>14</v>
      </c>
      <c r="X143" t="s">
        <v>44</v>
      </c>
      <c r="Y143">
        <v>1</v>
      </c>
      <c r="Z143">
        <v>800</v>
      </c>
      <c r="AA143" s="7">
        <v>1500</v>
      </c>
      <c r="AB143">
        <v>0</v>
      </c>
    </row>
    <row r="144" spans="1:28">
      <c r="A144" t="s">
        <v>164</v>
      </c>
      <c r="B144">
        <v>-54.9</v>
      </c>
      <c r="C144">
        <v>331</v>
      </c>
      <c r="D144" s="7">
        <v>1400</v>
      </c>
      <c r="E144">
        <v>184</v>
      </c>
      <c r="F144">
        <v>58</v>
      </c>
      <c r="G144">
        <v>80</v>
      </c>
      <c r="H144" t="s">
        <v>40</v>
      </c>
      <c r="I144" t="s">
        <v>40</v>
      </c>
      <c r="J144">
        <v>15</v>
      </c>
      <c r="K144">
        <v>5</v>
      </c>
      <c r="L144">
        <v>-13</v>
      </c>
      <c r="M144" s="6" t="s">
        <v>40</v>
      </c>
      <c r="N144" s="6" t="s">
        <v>40</v>
      </c>
      <c r="O144" s="1">
        <v>-13.2</v>
      </c>
      <c r="P144">
        <v>-2</v>
      </c>
      <c r="Q144" s="1">
        <v>-1.9</v>
      </c>
      <c r="R144" s="1">
        <v>-10.1</v>
      </c>
      <c r="S144">
        <v>17</v>
      </c>
      <c r="T144" t="s">
        <v>40</v>
      </c>
      <c r="U144">
        <v>40</v>
      </c>
      <c r="V144" t="s">
        <v>40</v>
      </c>
      <c r="W144" t="s">
        <v>40</v>
      </c>
      <c r="X144" t="s">
        <v>44</v>
      </c>
      <c r="Y144">
        <v>1</v>
      </c>
      <c r="Z144">
        <v>800</v>
      </c>
      <c r="AA144" s="7">
        <v>1500</v>
      </c>
      <c r="AB144">
        <v>0</v>
      </c>
    </row>
    <row r="145" spans="1:28">
      <c r="A145" t="s">
        <v>165</v>
      </c>
      <c r="B145">
        <v>-48</v>
      </c>
      <c r="C145">
        <v>164.5</v>
      </c>
      <c r="D145" s="7">
        <v>3000</v>
      </c>
      <c r="E145" s="7">
        <v>98</v>
      </c>
      <c r="F145" s="7">
        <v>60</v>
      </c>
      <c r="G145" s="7" t="s">
        <v>40</v>
      </c>
      <c r="H145" s="7">
        <v>150</v>
      </c>
      <c r="I145" s="7" t="s">
        <v>40</v>
      </c>
      <c r="J145" s="7">
        <v>23</v>
      </c>
      <c r="K145" s="7">
        <v>23</v>
      </c>
      <c r="L145" s="7">
        <v>66</v>
      </c>
      <c r="M145" s="7" t="s">
        <v>40</v>
      </c>
      <c r="N145" s="7" t="s">
        <v>40</v>
      </c>
      <c r="O145" s="7" t="s">
        <v>40</v>
      </c>
      <c r="P145" s="7">
        <v>66</v>
      </c>
      <c r="Q145" s="7" t="s">
        <v>40</v>
      </c>
      <c r="R145" s="7" t="s">
        <v>40</v>
      </c>
      <c r="S145" s="7">
        <v>-43</v>
      </c>
      <c r="T145" s="7" t="s">
        <v>40</v>
      </c>
      <c r="U145" s="7">
        <v>33</v>
      </c>
      <c r="V145" s="7" t="s">
        <v>40</v>
      </c>
      <c r="W145" s="7" t="s">
        <v>40</v>
      </c>
      <c r="X145" s="7" t="s">
        <v>44</v>
      </c>
      <c r="Y145" s="7">
        <v>1</v>
      </c>
      <c r="Z145" s="7">
        <v>600</v>
      </c>
      <c r="AA145" s="7">
        <v>3000</v>
      </c>
      <c r="AB145">
        <v>0</v>
      </c>
    </row>
    <row r="146" spans="1:28">
      <c r="A146" t="s">
        <v>166</v>
      </c>
      <c r="B146">
        <v>-35</v>
      </c>
      <c r="C146">
        <v>181.6</v>
      </c>
      <c r="D146" s="7">
        <v>6000</v>
      </c>
      <c r="E146">
        <v>293</v>
      </c>
      <c r="F146">
        <v>44</v>
      </c>
      <c r="G146">
        <v>70</v>
      </c>
      <c r="H146">
        <v>900</v>
      </c>
      <c r="I146">
        <v>760</v>
      </c>
      <c r="J146">
        <v>46</v>
      </c>
      <c r="K146">
        <v>46</v>
      </c>
      <c r="L146">
        <v>-54</v>
      </c>
      <c r="M146" s="6">
        <v>292.5</v>
      </c>
      <c r="N146" s="6">
        <v>134</v>
      </c>
      <c r="O146" s="1">
        <v>-53.7</v>
      </c>
      <c r="P146">
        <v>-54</v>
      </c>
      <c r="Q146" s="1">
        <v>-53.7</v>
      </c>
      <c r="R146" s="1" t="s">
        <v>40</v>
      </c>
      <c r="S146">
        <v>100</v>
      </c>
      <c r="T146">
        <v>41</v>
      </c>
      <c r="U146">
        <v>95</v>
      </c>
      <c r="V146">
        <v>3861</v>
      </c>
      <c r="W146">
        <v>24</v>
      </c>
      <c r="X146" t="s">
        <v>44</v>
      </c>
      <c r="Y146" s="10">
        <v>0</v>
      </c>
      <c r="Z146">
        <v>3250</v>
      </c>
      <c r="AA146" s="7">
        <v>6200</v>
      </c>
      <c r="AB146">
        <v>0</v>
      </c>
    </row>
    <row r="147" spans="1:28">
      <c r="A147" t="s">
        <v>167</v>
      </c>
      <c r="B147">
        <v>-33</v>
      </c>
      <c r="C147">
        <v>182.2</v>
      </c>
      <c r="D147" s="7">
        <v>6000</v>
      </c>
      <c r="E147">
        <v>288</v>
      </c>
      <c r="F147">
        <v>46</v>
      </c>
      <c r="G147">
        <v>68</v>
      </c>
      <c r="H147">
        <v>1000</v>
      </c>
      <c r="I147">
        <v>762</v>
      </c>
      <c r="J147">
        <v>52</v>
      </c>
      <c r="K147">
        <v>52</v>
      </c>
      <c r="L147">
        <v>-49</v>
      </c>
      <c r="M147" s="6">
        <v>287.89999999999998</v>
      </c>
      <c r="N147" s="6">
        <v>164</v>
      </c>
      <c r="O147" s="1">
        <v>-49</v>
      </c>
      <c r="P147">
        <v>-49</v>
      </c>
      <c r="Q147" s="1">
        <v>-49</v>
      </c>
      <c r="R147" s="1" t="s">
        <v>40</v>
      </c>
      <c r="S147">
        <v>100</v>
      </c>
      <c r="T147">
        <v>45</v>
      </c>
      <c r="U147">
        <v>97</v>
      </c>
      <c r="V147">
        <v>4395</v>
      </c>
      <c r="W147">
        <v>25</v>
      </c>
      <c r="X147" t="s">
        <v>44</v>
      </c>
      <c r="Y147" s="10">
        <v>0</v>
      </c>
      <c r="Z147">
        <v>3250</v>
      </c>
      <c r="AA147" s="7">
        <v>6200</v>
      </c>
      <c r="AB147">
        <v>0</v>
      </c>
    </row>
    <row r="148" spans="1:28">
      <c r="A148" t="s">
        <v>168</v>
      </c>
      <c r="B148">
        <v>-31</v>
      </c>
      <c r="C148">
        <v>183.2</v>
      </c>
      <c r="D148" s="7">
        <v>6000</v>
      </c>
      <c r="E148">
        <v>291</v>
      </c>
      <c r="F148">
        <v>40</v>
      </c>
      <c r="G148">
        <v>62</v>
      </c>
      <c r="H148">
        <v>1100</v>
      </c>
      <c r="I148">
        <v>812</v>
      </c>
      <c r="J148">
        <v>55</v>
      </c>
      <c r="K148">
        <v>55</v>
      </c>
      <c r="L148">
        <v>-50</v>
      </c>
      <c r="M148" s="6">
        <v>291.10000000000002</v>
      </c>
      <c r="N148" s="6">
        <v>120</v>
      </c>
      <c r="O148" s="1">
        <v>-49.8</v>
      </c>
      <c r="P148">
        <v>-50</v>
      </c>
      <c r="Q148" s="1">
        <v>-49.8</v>
      </c>
      <c r="R148" s="1" t="s">
        <v>40</v>
      </c>
      <c r="S148">
        <v>104</v>
      </c>
      <c r="T148">
        <v>45</v>
      </c>
      <c r="U148">
        <v>99</v>
      </c>
      <c r="V148">
        <v>4462</v>
      </c>
      <c r="W148">
        <v>27</v>
      </c>
      <c r="X148" t="s">
        <v>44</v>
      </c>
      <c r="Y148" s="10">
        <v>0</v>
      </c>
      <c r="Z148">
        <v>3250</v>
      </c>
      <c r="AA148" s="7">
        <v>6200</v>
      </c>
      <c r="AB148">
        <v>0</v>
      </c>
    </row>
    <row r="149" spans="1:28">
      <c r="A149" t="s">
        <v>169</v>
      </c>
      <c r="B149">
        <v>-29</v>
      </c>
      <c r="C149">
        <v>183.9</v>
      </c>
      <c r="D149" s="7">
        <v>6000</v>
      </c>
      <c r="E149">
        <v>286</v>
      </c>
      <c r="F149">
        <v>39</v>
      </c>
      <c r="G149">
        <v>57</v>
      </c>
      <c r="H149">
        <v>1200</v>
      </c>
      <c r="I149">
        <v>848</v>
      </c>
      <c r="J149">
        <v>59</v>
      </c>
      <c r="K149">
        <v>59</v>
      </c>
      <c r="L149">
        <v>-45</v>
      </c>
      <c r="M149" s="6">
        <v>286.39999999999998</v>
      </c>
      <c r="N149" s="6">
        <v>158</v>
      </c>
      <c r="O149" s="1">
        <v>-44.9</v>
      </c>
      <c r="P149">
        <v>-45</v>
      </c>
      <c r="Q149" s="1">
        <v>-44.9</v>
      </c>
      <c r="R149" s="1" t="s">
        <v>40</v>
      </c>
      <c r="S149">
        <v>105</v>
      </c>
      <c r="T149">
        <v>47</v>
      </c>
      <c r="U149">
        <v>101</v>
      </c>
      <c r="V149">
        <v>4714</v>
      </c>
      <c r="W149">
        <v>28</v>
      </c>
      <c r="X149" t="s">
        <v>44</v>
      </c>
      <c r="Y149" s="10">
        <v>0</v>
      </c>
      <c r="Z149">
        <v>3250</v>
      </c>
      <c r="AA149" s="7">
        <v>6200</v>
      </c>
      <c r="AB149">
        <v>0</v>
      </c>
    </row>
    <row r="150" spans="1:28">
      <c r="A150" t="s">
        <v>170</v>
      </c>
      <c r="B150">
        <v>-27</v>
      </c>
      <c r="C150">
        <v>184.5</v>
      </c>
      <c r="D150" s="7">
        <v>6000</v>
      </c>
      <c r="E150">
        <v>281</v>
      </c>
      <c r="F150">
        <v>38</v>
      </c>
      <c r="G150">
        <v>56.5</v>
      </c>
      <c r="H150">
        <v>1300</v>
      </c>
      <c r="I150">
        <v>857</v>
      </c>
      <c r="J150">
        <v>64</v>
      </c>
      <c r="K150">
        <v>64</v>
      </c>
      <c r="L150">
        <v>-39</v>
      </c>
      <c r="M150" s="6">
        <v>281.2</v>
      </c>
      <c r="N150" s="6">
        <v>202</v>
      </c>
      <c r="O150" s="1">
        <v>-39.4</v>
      </c>
      <c r="P150">
        <v>-39</v>
      </c>
      <c r="Q150" s="1">
        <v>-39.4</v>
      </c>
      <c r="R150" s="1" t="s">
        <v>40</v>
      </c>
      <c r="S150">
        <v>104</v>
      </c>
      <c r="T150">
        <v>50</v>
      </c>
      <c r="U150">
        <v>103</v>
      </c>
      <c r="V150">
        <v>5172</v>
      </c>
      <c r="W150">
        <v>29</v>
      </c>
      <c r="X150" t="s">
        <v>44</v>
      </c>
      <c r="Y150" s="10">
        <v>0</v>
      </c>
      <c r="Z150">
        <v>3250</v>
      </c>
      <c r="AA150" s="7">
        <v>6200</v>
      </c>
      <c r="AB150">
        <v>0</v>
      </c>
    </row>
    <row r="151" spans="1:28">
      <c r="A151" t="s">
        <v>171</v>
      </c>
      <c r="B151">
        <v>-23</v>
      </c>
      <c r="C151">
        <v>185.4</v>
      </c>
      <c r="D151" s="7">
        <v>6200</v>
      </c>
      <c r="E151">
        <v>298</v>
      </c>
      <c r="F151">
        <v>39</v>
      </c>
      <c r="G151">
        <v>57</v>
      </c>
      <c r="H151">
        <v>670</v>
      </c>
      <c r="I151">
        <v>848</v>
      </c>
      <c r="J151">
        <v>104</v>
      </c>
      <c r="K151">
        <v>65</v>
      </c>
      <c r="L151">
        <v>-47</v>
      </c>
      <c r="M151" s="6">
        <v>297.89999999999998</v>
      </c>
      <c r="N151" s="6">
        <v>180</v>
      </c>
      <c r="O151" s="1">
        <v>-47</v>
      </c>
      <c r="P151">
        <v>-8</v>
      </c>
      <c r="Q151" s="1">
        <v>-8</v>
      </c>
      <c r="R151" s="1">
        <v>-39.200000000000003</v>
      </c>
      <c r="S151">
        <v>112</v>
      </c>
      <c r="T151">
        <v>82</v>
      </c>
      <c r="U151">
        <v>106</v>
      </c>
      <c r="V151">
        <v>8739</v>
      </c>
      <c r="W151">
        <v>29</v>
      </c>
      <c r="X151" t="s">
        <v>44</v>
      </c>
      <c r="Y151" s="10">
        <v>0</v>
      </c>
      <c r="Z151">
        <v>3250</v>
      </c>
      <c r="AA151" s="7">
        <v>6200</v>
      </c>
      <c r="AB151">
        <v>0</v>
      </c>
    </row>
    <row r="152" spans="1:28">
      <c r="A152" t="s">
        <v>172</v>
      </c>
      <c r="B152">
        <v>-21</v>
      </c>
      <c r="C152">
        <v>186.5</v>
      </c>
      <c r="D152" s="7">
        <v>6200</v>
      </c>
      <c r="E152">
        <v>291</v>
      </c>
      <c r="F152">
        <v>38</v>
      </c>
      <c r="G152">
        <v>54</v>
      </c>
      <c r="H152">
        <v>670</v>
      </c>
      <c r="I152">
        <v>877</v>
      </c>
      <c r="J152">
        <v>148</v>
      </c>
      <c r="K152">
        <v>72</v>
      </c>
      <c r="L152">
        <v>-40</v>
      </c>
      <c r="M152" s="6">
        <v>291.10000000000002</v>
      </c>
      <c r="N152" s="6">
        <v>185</v>
      </c>
      <c r="O152" s="1">
        <v>-40.4</v>
      </c>
      <c r="P152">
        <v>40</v>
      </c>
      <c r="Q152" s="1">
        <v>40.4</v>
      </c>
      <c r="R152" s="1">
        <v>-76</v>
      </c>
      <c r="S152">
        <v>113</v>
      </c>
      <c r="T152">
        <v>113</v>
      </c>
      <c r="U152">
        <v>107</v>
      </c>
      <c r="V152">
        <v>12070</v>
      </c>
      <c r="W152">
        <v>30</v>
      </c>
      <c r="X152" t="s">
        <v>44</v>
      </c>
      <c r="Y152" s="10">
        <v>0</v>
      </c>
      <c r="Z152">
        <v>3250</v>
      </c>
      <c r="AA152" s="7">
        <v>6200</v>
      </c>
      <c r="AB152">
        <v>0</v>
      </c>
    </row>
    <row r="153" spans="1:28">
      <c r="A153" t="s">
        <v>173</v>
      </c>
      <c r="B153">
        <v>-19</v>
      </c>
      <c r="C153">
        <v>187.2</v>
      </c>
      <c r="D153" s="7">
        <v>6200</v>
      </c>
      <c r="E153">
        <v>287</v>
      </c>
      <c r="F153">
        <v>36</v>
      </c>
      <c r="G153">
        <v>51</v>
      </c>
      <c r="H153">
        <v>670</v>
      </c>
      <c r="I153">
        <v>914</v>
      </c>
      <c r="J153">
        <v>183</v>
      </c>
      <c r="K153">
        <v>76</v>
      </c>
      <c r="L153">
        <v>-35</v>
      </c>
      <c r="M153" s="6">
        <v>286.8</v>
      </c>
      <c r="N153" s="6">
        <v>195</v>
      </c>
      <c r="O153" s="1">
        <v>-35.200000000000003</v>
      </c>
      <c r="P153">
        <v>93</v>
      </c>
      <c r="Q153" s="1">
        <v>93</v>
      </c>
      <c r="R153" s="1">
        <v>-106.9</v>
      </c>
      <c r="S153">
        <v>112</v>
      </c>
      <c r="T153">
        <v>134</v>
      </c>
      <c r="U153">
        <v>108</v>
      </c>
      <c r="V153">
        <v>14489</v>
      </c>
      <c r="W153">
        <v>31</v>
      </c>
      <c r="X153" t="s">
        <v>44</v>
      </c>
      <c r="Y153" s="10">
        <v>0</v>
      </c>
      <c r="Z153">
        <v>3250</v>
      </c>
      <c r="AA153" s="7">
        <v>6200</v>
      </c>
      <c r="AB153">
        <v>0</v>
      </c>
    </row>
    <row r="154" spans="1:28">
      <c r="A154" t="s">
        <v>174</v>
      </c>
      <c r="B154">
        <v>-17</v>
      </c>
      <c r="C154">
        <v>187.8</v>
      </c>
      <c r="D154" s="7">
        <v>6200</v>
      </c>
      <c r="E154">
        <v>286</v>
      </c>
      <c r="F154">
        <v>35</v>
      </c>
      <c r="G154">
        <v>53</v>
      </c>
      <c r="H154">
        <v>670</v>
      </c>
      <c r="I154">
        <v>900</v>
      </c>
      <c r="J154">
        <v>183</v>
      </c>
      <c r="K154">
        <v>76</v>
      </c>
      <c r="L154">
        <v>-35</v>
      </c>
      <c r="M154" s="6">
        <v>286.10000000000002</v>
      </c>
      <c r="N154" s="6">
        <v>131</v>
      </c>
      <c r="O154" s="1">
        <v>-35.200000000000003</v>
      </c>
      <c r="P154">
        <v>93</v>
      </c>
      <c r="Q154" s="1">
        <v>93</v>
      </c>
      <c r="R154" s="1">
        <v>-106.9</v>
      </c>
      <c r="S154">
        <v>112</v>
      </c>
      <c r="T154">
        <v>136</v>
      </c>
      <c r="U154">
        <v>108</v>
      </c>
      <c r="V154">
        <v>14708</v>
      </c>
      <c r="W154">
        <v>31</v>
      </c>
      <c r="X154" t="s">
        <v>44</v>
      </c>
      <c r="Y154">
        <v>1</v>
      </c>
      <c r="Z154">
        <v>3250</v>
      </c>
      <c r="AA154" s="7">
        <v>6200</v>
      </c>
      <c r="AB154">
        <v>0</v>
      </c>
    </row>
    <row r="155" spans="1:28">
      <c r="A155" t="s">
        <v>175</v>
      </c>
      <c r="B155">
        <v>-20</v>
      </c>
      <c r="C155">
        <v>168.2</v>
      </c>
      <c r="D155" s="8">
        <v>3800</v>
      </c>
      <c r="E155">
        <v>61</v>
      </c>
      <c r="F155">
        <v>50</v>
      </c>
      <c r="G155">
        <v>66</v>
      </c>
      <c r="H155">
        <v>670</v>
      </c>
      <c r="I155">
        <v>760</v>
      </c>
      <c r="J155">
        <v>120</v>
      </c>
      <c r="K155">
        <v>75</v>
      </c>
      <c r="L155">
        <v>57</v>
      </c>
      <c r="M155" s="6">
        <v>61.4</v>
      </c>
      <c r="N155" s="6">
        <v>109</v>
      </c>
      <c r="O155" s="1">
        <v>56.6</v>
      </c>
      <c r="P155">
        <v>101</v>
      </c>
      <c r="Q155" s="1">
        <v>101</v>
      </c>
      <c r="R155" s="1">
        <v>-45.5</v>
      </c>
      <c r="S155">
        <v>18</v>
      </c>
      <c r="T155">
        <v>106</v>
      </c>
      <c r="U155">
        <v>45</v>
      </c>
      <c r="V155">
        <v>4762</v>
      </c>
      <c r="W155">
        <v>17</v>
      </c>
      <c r="X155" t="s">
        <v>44</v>
      </c>
      <c r="Y155">
        <v>1</v>
      </c>
      <c r="Z155">
        <v>1600</v>
      </c>
      <c r="AA155" s="7">
        <v>3000</v>
      </c>
      <c r="AB155">
        <v>0</v>
      </c>
    </row>
    <row r="156" spans="1:28">
      <c r="A156" t="s">
        <v>176</v>
      </c>
      <c r="B156">
        <v>-18</v>
      </c>
      <c r="C156">
        <v>167.4</v>
      </c>
      <c r="D156" s="8">
        <v>3800</v>
      </c>
      <c r="E156">
        <v>82</v>
      </c>
      <c r="F156">
        <v>48</v>
      </c>
      <c r="G156">
        <v>71</v>
      </c>
      <c r="H156">
        <v>670</v>
      </c>
      <c r="I156">
        <v>745</v>
      </c>
      <c r="J156">
        <v>85</v>
      </c>
      <c r="K156">
        <v>82</v>
      </c>
      <c r="L156">
        <v>85</v>
      </c>
      <c r="M156" s="6">
        <v>81.5</v>
      </c>
      <c r="N156" s="6">
        <v>113</v>
      </c>
      <c r="O156" s="1">
        <v>85.4</v>
      </c>
      <c r="P156">
        <v>96</v>
      </c>
      <c r="Q156" s="1">
        <v>96.1</v>
      </c>
      <c r="R156" s="1">
        <v>-3.3</v>
      </c>
      <c r="S156">
        <v>3</v>
      </c>
      <c r="T156">
        <v>77</v>
      </c>
      <c r="U156">
        <v>48</v>
      </c>
      <c r="V156">
        <v>3684</v>
      </c>
      <c r="W156">
        <v>17</v>
      </c>
      <c r="X156" t="s">
        <v>44</v>
      </c>
      <c r="Y156">
        <v>1</v>
      </c>
      <c r="Z156">
        <v>1600</v>
      </c>
      <c r="AA156" s="7">
        <v>3000</v>
      </c>
      <c r="AB156">
        <v>0</v>
      </c>
    </row>
    <row r="157" spans="1:28">
      <c r="A157" t="s">
        <v>177</v>
      </c>
      <c r="B157">
        <v>-14</v>
      </c>
      <c r="C157">
        <v>166.2</v>
      </c>
      <c r="D157" s="8">
        <v>3800</v>
      </c>
      <c r="E157">
        <v>83</v>
      </c>
      <c r="F157">
        <v>52</v>
      </c>
      <c r="G157">
        <v>82</v>
      </c>
      <c r="H157">
        <v>670</v>
      </c>
      <c r="I157">
        <v>709</v>
      </c>
      <c r="J157">
        <v>103</v>
      </c>
      <c r="K157">
        <v>88</v>
      </c>
      <c r="L157">
        <v>91</v>
      </c>
      <c r="M157" s="6">
        <v>83</v>
      </c>
      <c r="N157" s="6">
        <v>102</v>
      </c>
      <c r="O157" s="1">
        <v>90.6</v>
      </c>
      <c r="P157">
        <v>105</v>
      </c>
      <c r="Q157" s="1">
        <v>105.1</v>
      </c>
      <c r="R157" s="1">
        <v>-15.6</v>
      </c>
      <c r="S157">
        <v>3</v>
      </c>
      <c r="T157">
        <v>98</v>
      </c>
      <c r="U157">
        <v>60</v>
      </c>
      <c r="V157">
        <v>5863</v>
      </c>
      <c r="W157">
        <v>18</v>
      </c>
      <c r="X157" t="s">
        <v>44</v>
      </c>
      <c r="Y157">
        <v>1</v>
      </c>
      <c r="Z157">
        <v>1600</v>
      </c>
      <c r="AA157" s="7">
        <v>3000</v>
      </c>
      <c r="AB157">
        <v>0</v>
      </c>
    </row>
    <row r="158" spans="1:28">
      <c r="A158" t="s">
        <v>178</v>
      </c>
      <c r="B158">
        <v>-12</v>
      </c>
      <c r="C158">
        <v>165.7</v>
      </c>
      <c r="D158" s="8">
        <v>3800</v>
      </c>
      <c r="E158">
        <v>66</v>
      </c>
      <c r="F158">
        <v>57</v>
      </c>
      <c r="G158">
        <v>72</v>
      </c>
      <c r="H158">
        <v>670</v>
      </c>
      <c r="I158">
        <v>722</v>
      </c>
      <c r="J158">
        <v>163</v>
      </c>
      <c r="K158">
        <v>87</v>
      </c>
      <c r="L158">
        <v>67</v>
      </c>
      <c r="M158" s="6">
        <v>66</v>
      </c>
      <c r="N158" s="6">
        <v>87</v>
      </c>
      <c r="O158" s="1">
        <v>67.400000000000006</v>
      </c>
      <c r="P158">
        <v>145</v>
      </c>
      <c r="Q158" s="1">
        <v>144.69999999999999</v>
      </c>
      <c r="R158" s="1">
        <v>-75.2</v>
      </c>
      <c r="S158">
        <v>21</v>
      </c>
      <c r="T158">
        <v>151</v>
      </c>
      <c r="U158" t="s">
        <v>40</v>
      </c>
      <c r="V158" t="s">
        <v>40</v>
      </c>
      <c r="W158">
        <v>18</v>
      </c>
      <c r="X158" t="s">
        <v>44</v>
      </c>
      <c r="Y158">
        <v>1</v>
      </c>
      <c r="Z158">
        <v>1600</v>
      </c>
      <c r="AA158" s="7">
        <v>3000</v>
      </c>
      <c r="AB158">
        <v>0</v>
      </c>
    </row>
    <row r="159" spans="1:28">
      <c r="A159" t="s">
        <v>179</v>
      </c>
      <c r="B159">
        <v>-6.1</v>
      </c>
      <c r="C159">
        <v>152</v>
      </c>
      <c r="D159" s="7">
        <v>400</v>
      </c>
      <c r="E159">
        <v>335</v>
      </c>
      <c r="F159">
        <v>44</v>
      </c>
      <c r="G159">
        <v>70</v>
      </c>
      <c r="H159">
        <v>670</v>
      </c>
      <c r="I159">
        <v>760</v>
      </c>
      <c r="J159">
        <v>120</v>
      </c>
      <c r="K159">
        <v>11</v>
      </c>
      <c r="L159">
        <v>-90</v>
      </c>
      <c r="M159" s="6">
        <v>335</v>
      </c>
      <c r="N159" s="6">
        <v>97</v>
      </c>
      <c r="O159" s="1">
        <v>-90.4</v>
      </c>
      <c r="P159">
        <v>20</v>
      </c>
      <c r="Q159" s="1">
        <v>19.5</v>
      </c>
      <c r="R159" s="1">
        <v>-109.1</v>
      </c>
      <c r="S159">
        <v>101</v>
      </c>
      <c r="T159">
        <v>106</v>
      </c>
      <c r="U159">
        <v>31</v>
      </c>
      <c r="V159">
        <v>3283</v>
      </c>
      <c r="W159">
        <v>14</v>
      </c>
      <c r="X159" t="s">
        <v>44</v>
      </c>
      <c r="Y159">
        <v>0</v>
      </c>
      <c r="Z159">
        <v>500</v>
      </c>
      <c r="AA159" s="7">
        <v>400</v>
      </c>
      <c r="AB159">
        <v>0</v>
      </c>
    </row>
    <row r="160" spans="1:28">
      <c r="A160" t="s">
        <v>180</v>
      </c>
      <c r="B160">
        <v>-7</v>
      </c>
      <c r="C160">
        <v>150</v>
      </c>
      <c r="D160" s="7">
        <v>400</v>
      </c>
      <c r="E160">
        <v>339</v>
      </c>
      <c r="F160">
        <v>41</v>
      </c>
      <c r="G160">
        <v>82</v>
      </c>
      <c r="H160">
        <v>670</v>
      </c>
      <c r="I160">
        <v>741</v>
      </c>
      <c r="J160">
        <v>75</v>
      </c>
      <c r="K160">
        <v>2</v>
      </c>
      <c r="L160">
        <v>-94</v>
      </c>
      <c r="M160" s="6">
        <v>339</v>
      </c>
      <c r="N160" s="6">
        <v>103</v>
      </c>
      <c r="O160" s="1">
        <v>-94.4</v>
      </c>
      <c r="P160">
        <v>-18</v>
      </c>
      <c r="Q160" s="1">
        <v>-17.5</v>
      </c>
      <c r="R160" s="1">
        <v>-73.599999999999994</v>
      </c>
      <c r="S160">
        <v>93</v>
      </c>
      <c r="T160">
        <v>68</v>
      </c>
      <c r="U160">
        <v>31</v>
      </c>
      <c r="V160">
        <v>2105</v>
      </c>
      <c r="W160">
        <v>14</v>
      </c>
      <c r="X160" t="s">
        <v>44</v>
      </c>
      <c r="Y160">
        <v>1</v>
      </c>
      <c r="Z160">
        <v>500</v>
      </c>
      <c r="AA160" s="7">
        <v>400</v>
      </c>
      <c r="AB160">
        <v>0</v>
      </c>
    </row>
    <row r="161" spans="1:28">
      <c r="A161" t="s">
        <v>181</v>
      </c>
      <c r="B161">
        <v>-7.3</v>
      </c>
      <c r="C161">
        <v>148</v>
      </c>
      <c r="D161" s="7">
        <v>400</v>
      </c>
      <c r="E161">
        <v>10</v>
      </c>
      <c r="F161">
        <v>37</v>
      </c>
      <c r="G161">
        <v>76</v>
      </c>
      <c r="H161">
        <v>670</v>
      </c>
      <c r="I161">
        <v>769</v>
      </c>
      <c r="J161">
        <v>65</v>
      </c>
      <c r="K161">
        <v>48</v>
      </c>
      <c r="L161">
        <v>0</v>
      </c>
      <c r="M161" s="6">
        <v>10</v>
      </c>
      <c r="N161" s="6">
        <v>73</v>
      </c>
      <c r="O161" s="1">
        <v>0</v>
      </c>
      <c r="P161">
        <v>-22</v>
      </c>
      <c r="Q161" s="1">
        <v>-22</v>
      </c>
      <c r="R161" s="1">
        <v>-16.600000000000001</v>
      </c>
      <c r="S161">
        <v>83</v>
      </c>
      <c r="T161">
        <v>56</v>
      </c>
      <c r="U161">
        <v>31</v>
      </c>
      <c r="V161">
        <v>1747</v>
      </c>
      <c r="W161">
        <v>14</v>
      </c>
      <c r="X161" t="s">
        <v>44</v>
      </c>
      <c r="Y161">
        <v>1</v>
      </c>
      <c r="Z161">
        <v>500</v>
      </c>
      <c r="AA161" s="7">
        <v>400</v>
      </c>
      <c r="AB161">
        <v>0</v>
      </c>
    </row>
    <row r="163" spans="1:28">
      <c r="O163" s="1"/>
    </row>
    <row r="164" spans="1:28" s="1" customFormat="1">
      <c r="A164" s="1" t="s">
        <v>186</v>
      </c>
      <c r="B164" s="1">
        <v>42</v>
      </c>
      <c r="C164" s="1">
        <v>234.7</v>
      </c>
      <c r="D164" s="7"/>
      <c r="E164" s="2" t="s">
        <v>40</v>
      </c>
      <c r="F164" s="2" t="s">
        <v>40</v>
      </c>
      <c r="G164" s="2" t="s">
        <v>40</v>
      </c>
      <c r="H164" s="2" t="s">
        <v>40</v>
      </c>
      <c r="I164" s="2" t="s">
        <v>40</v>
      </c>
      <c r="J164" s="2" t="s">
        <v>40</v>
      </c>
      <c r="K164" s="2" t="s">
        <v>40</v>
      </c>
      <c r="L164" s="2" t="s">
        <v>40</v>
      </c>
      <c r="M164" s="2" t="s">
        <v>40</v>
      </c>
      <c r="N164" s="2" t="s">
        <v>40</v>
      </c>
      <c r="O164" s="1">
        <v>25.3</v>
      </c>
      <c r="Q164" s="1">
        <v>23.9</v>
      </c>
      <c r="R164" s="1" t="s">
        <v>40</v>
      </c>
    </row>
    <row r="165" spans="1:28">
      <c r="A165" s="1" t="s">
        <v>184</v>
      </c>
      <c r="B165" s="1">
        <v>-43</v>
      </c>
      <c r="C165" s="1">
        <v>284.5</v>
      </c>
      <c r="E165" s="2" t="s">
        <v>40</v>
      </c>
      <c r="F165" s="2" t="s">
        <v>40</v>
      </c>
      <c r="G165" s="2" t="s">
        <v>40</v>
      </c>
      <c r="H165" s="2" t="s">
        <v>40</v>
      </c>
      <c r="I165" s="2" t="s">
        <v>40</v>
      </c>
      <c r="J165" s="2" t="s">
        <v>40</v>
      </c>
      <c r="K165" s="2" t="s">
        <v>40</v>
      </c>
      <c r="L165" s="2" t="s">
        <v>40</v>
      </c>
      <c r="M165" s="2" t="s">
        <v>40</v>
      </c>
      <c r="N165" s="2" t="s">
        <v>40</v>
      </c>
      <c r="O165" s="1">
        <v>42.7</v>
      </c>
      <c r="P165" s="1"/>
      <c r="Q165" s="1">
        <v>42.7</v>
      </c>
      <c r="R165" s="1" t="s">
        <v>40</v>
      </c>
    </row>
    <row r="166" spans="1:28">
      <c r="A166" s="1"/>
      <c r="B166" s="1">
        <v>-45</v>
      </c>
      <c r="C166" s="1">
        <v>283.89999999999998</v>
      </c>
      <c r="E166" s="2" t="s">
        <v>40</v>
      </c>
      <c r="F166" s="2" t="s">
        <v>40</v>
      </c>
      <c r="G166" s="2" t="s">
        <v>40</v>
      </c>
      <c r="H166" s="2" t="s">
        <v>40</v>
      </c>
      <c r="I166" s="2" t="s">
        <v>40</v>
      </c>
      <c r="J166" s="2" t="s">
        <v>40</v>
      </c>
      <c r="K166" s="2" t="s">
        <v>40</v>
      </c>
      <c r="L166" s="2" t="s">
        <v>40</v>
      </c>
      <c r="M166" s="2" t="s">
        <v>40</v>
      </c>
      <c r="N166" s="2" t="s">
        <v>40</v>
      </c>
      <c r="O166" s="1">
        <v>41.7</v>
      </c>
      <c r="P166" s="1"/>
      <c r="Q166" s="1">
        <v>41.7</v>
      </c>
      <c r="R166" s="1" t="s">
        <v>40</v>
      </c>
    </row>
    <row r="167" spans="1:28">
      <c r="A167" s="1"/>
      <c r="B167" s="1">
        <v>-47</v>
      </c>
      <c r="C167" s="1">
        <v>283.8</v>
      </c>
      <c r="E167" s="2" t="s">
        <v>40</v>
      </c>
      <c r="F167" s="2" t="s">
        <v>40</v>
      </c>
      <c r="G167" s="2" t="s">
        <v>40</v>
      </c>
      <c r="H167" s="2" t="s">
        <v>40</v>
      </c>
      <c r="I167" s="2" t="s">
        <v>40</v>
      </c>
      <c r="J167" s="2" t="s">
        <v>40</v>
      </c>
      <c r="K167" s="2" t="s">
        <v>40</v>
      </c>
      <c r="L167" s="2" t="s">
        <v>40</v>
      </c>
      <c r="M167" s="2" t="s">
        <v>40</v>
      </c>
      <c r="N167" s="2" t="s">
        <v>40</v>
      </c>
      <c r="O167" s="1">
        <v>40.200000000000003</v>
      </c>
      <c r="P167" s="1"/>
      <c r="Q167" s="1">
        <v>40.200000000000003</v>
      </c>
      <c r="R167" s="1" t="s">
        <v>40</v>
      </c>
    </row>
    <row r="168" spans="1:28">
      <c r="A168" s="1"/>
      <c r="B168" s="1">
        <v>-49</v>
      </c>
      <c r="C168" s="1">
        <v>282.60000000000002</v>
      </c>
      <c r="E168" s="2" t="s">
        <v>40</v>
      </c>
      <c r="F168" s="2" t="s">
        <v>40</v>
      </c>
      <c r="G168" s="2" t="s">
        <v>40</v>
      </c>
      <c r="H168" s="2" t="s">
        <v>40</v>
      </c>
      <c r="I168" s="2" t="s">
        <v>40</v>
      </c>
      <c r="J168" s="2" t="s">
        <v>40</v>
      </c>
      <c r="K168" s="2" t="s">
        <v>40</v>
      </c>
      <c r="L168" s="2" t="s">
        <v>40</v>
      </c>
      <c r="M168" s="2" t="s">
        <v>40</v>
      </c>
      <c r="N168" s="2" t="s">
        <v>40</v>
      </c>
      <c r="O168" s="1">
        <v>40.799999999999997</v>
      </c>
      <c r="P168" s="1"/>
      <c r="Q168" s="1">
        <v>40.799999999999997</v>
      </c>
      <c r="R168" s="1" t="s">
        <v>40</v>
      </c>
    </row>
    <row r="169" spans="1:28">
      <c r="A169" s="1" t="s">
        <v>185</v>
      </c>
      <c r="B169" s="1">
        <v>-51</v>
      </c>
      <c r="C169" s="1">
        <v>283.3</v>
      </c>
      <c r="E169" s="2" t="s">
        <v>40</v>
      </c>
      <c r="F169" s="2" t="s">
        <v>40</v>
      </c>
      <c r="G169" s="2" t="s">
        <v>40</v>
      </c>
      <c r="H169" s="2" t="s">
        <v>40</v>
      </c>
      <c r="I169" s="2" t="s">
        <v>40</v>
      </c>
      <c r="J169" s="2" t="s">
        <v>40</v>
      </c>
      <c r="K169" s="2" t="s">
        <v>40</v>
      </c>
      <c r="L169" s="2" t="s">
        <v>40</v>
      </c>
      <c r="M169" s="2" t="s">
        <v>40</v>
      </c>
      <c r="N169" s="2" t="s">
        <v>40</v>
      </c>
      <c r="O169" s="1">
        <v>41</v>
      </c>
      <c r="P169" s="1"/>
      <c r="Q169" s="1">
        <v>41</v>
      </c>
      <c r="R169" s="1" t="s">
        <v>40</v>
      </c>
    </row>
    <row r="170" spans="1:28">
      <c r="A170" s="1"/>
      <c r="B170" s="1">
        <v>-53</v>
      </c>
      <c r="C170" s="1">
        <v>283.89999999999998</v>
      </c>
      <c r="E170" s="2" t="s">
        <v>40</v>
      </c>
      <c r="F170" s="2" t="s">
        <v>40</v>
      </c>
      <c r="G170" s="2" t="s">
        <v>40</v>
      </c>
      <c r="H170" s="2" t="s">
        <v>40</v>
      </c>
      <c r="I170" s="2" t="s">
        <v>40</v>
      </c>
      <c r="J170" s="2" t="s">
        <v>40</v>
      </c>
      <c r="K170" s="2" t="s">
        <v>40</v>
      </c>
      <c r="L170" s="2" t="s">
        <v>40</v>
      </c>
      <c r="M170" s="2" t="s">
        <v>40</v>
      </c>
      <c r="N170" s="2" t="s">
        <v>40</v>
      </c>
      <c r="O170" s="1">
        <v>39.6</v>
      </c>
      <c r="P170" s="1"/>
      <c r="Q170" s="1">
        <v>39.6</v>
      </c>
      <c r="R170" s="1" t="s">
        <v>40</v>
      </c>
    </row>
    <row r="171" spans="1:28">
      <c r="A171" s="1"/>
      <c r="B171" s="1">
        <v>-55</v>
      </c>
      <c r="C171" s="1">
        <v>286.7</v>
      </c>
      <c r="E171" s="2" t="s">
        <v>40</v>
      </c>
      <c r="F171" s="2" t="s">
        <v>40</v>
      </c>
      <c r="G171" s="2" t="s">
        <v>40</v>
      </c>
      <c r="H171" s="2" t="s">
        <v>40</v>
      </c>
      <c r="I171" s="2" t="s">
        <v>40</v>
      </c>
      <c r="J171" s="2" t="s">
        <v>40</v>
      </c>
      <c r="K171" s="2" t="s">
        <v>40</v>
      </c>
      <c r="L171" s="2" t="s">
        <v>40</v>
      </c>
      <c r="M171" s="2" t="s">
        <v>40</v>
      </c>
      <c r="N171" s="2" t="s">
        <v>40</v>
      </c>
      <c r="O171" s="1">
        <v>32.299999999999997</v>
      </c>
      <c r="P171" s="1"/>
      <c r="Q171" s="1">
        <v>32.299999999999997</v>
      </c>
      <c r="R171" s="1" t="s">
        <v>40</v>
      </c>
    </row>
    <row r="172" spans="1:28">
      <c r="A172" s="1" t="s">
        <v>187</v>
      </c>
      <c r="B172" s="1">
        <v>-54.8</v>
      </c>
      <c r="C172" s="1">
        <v>329</v>
      </c>
      <c r="E172" s="2" t="s">
        <v>40</v>
      </c>
      <c r="F172" s="2" t="s">
        <v>40</v>
      </c>
      <c r="G172" s="2" t="s">
        <v>40</v>
      </c>
      <c r="H172" s="2" t="s">
        <v>40</v>
      </c>
      <c r="I172" s="2" t="s">
        <v>40</v>
      </c>
      <c r="J172" s="2" t="s">
        <v>40</v>
      </c>
      <c r="K172" s="2" t="s">
        <v>40</v>
      </c>
      <c r="L172" s="2" t="s">
        <v>40</v>
      </c>
      <c r="M172" s="2" t="s">
        <v>40</v>
      </c>
      <c r="N172" s="2" t="s">
        <v>40</v>
      </c>
      <c r="O172" s="1">
        <v>-15.8</v>
      </c>
      <c r="P172" s="1"/>
      <c r="Q172" s="1">
        <v>-17</v>
      </c>
      <c r="R172" s="1" t="s">
        <v>40</v>
      </c>
    </row>
    <row r="173" spans="1:28">
      <c r="A173" s="1" t="s">
        <v>188</v>
      </c>
      <c r="B173" s="1">
        <v>-15.5</v>
      </c>
      <c r="C173" s="1">
        <v>187.7</v>
      </c>
      <c r="E173" s="2" t="s">
        <v>40</v>
      </c>
      <c r="F173" s="2" t="s">
        <v>40</v>
      </c>
      <c r="G173" s="2" t="s">
        <v>40</v>
      </c>
      <c r="H173" s="2" t="s">
        <v>40</v>
      </c>
      <c r="I173" s="2" t="s">
        <v>40</v>
      </c>
      <c r="J173" s="2" t="s">
        <v>40</v>
      </c>
      <c r="K173" s="2" t="s">
        <v>40</v>
      </c>
      <c r="L173" s="2" t="s">
        <v>40</v>
      </c>
      <c r="M173" s="2" t="s">
        <v>40</v>
      </c>
      <c r="N173" s="2" t="s">
        <v>40</v>
      </c>
      <c r="O173" s="1">
        <v>-28</v>
      </c>
      <c r="P173" s="1"/>
      <c r="Q173" s="1">
        <v>113.6</v>
      </c>
      <c r="R173" s="1">
        <v>-142.1</v>
      </c>
    </row>
    <row r="174" spans="1:28">
      <c r="A174" s="1"/>
      <c r="B174" s="1"/>
      <c r="C174" s="1"/>
      <c r="E174" s="1"/>
      <c r="F174" s="1"/>
      <c r="G174" s="1"/>
      <c r="H174" s="1"/>
      <c r="I174" s="1"/>
      <c r="J174" s="1"/>
      <c r="K174" s="1"/>
      <c r="L174" s="1"/>
      <c r="O174" s="1"/>
      <c r="P174" s="1"/>
      <c r="Q174" s="1"/>
    </row>
    <row r="175" spans="1:28" s="6" customFormat="1">
      <c r="A175" s="6" t="s">
        <v>190</v>
      </c>
      <c r="B175" s="6">
        <v>-6.5</v>
      </c>
      <c r="C175" s="6">
        <v>154</v>
      </c>
      <c r="D175" s="7"/>
      <c r="E175" s="6" t="s">
        <v>40</v>
      </c>
      <c r="F175" s="6" t="s">
        <v>40</v>
      </c>
      <c r="G175" s="6" t="s">
        <v>40</v>
      </c>
      <c r="H175" s="6" t="s">
        <v>40</v>
      </c>
      <c r="I175" s="6" t="s">
        <v>40</v>
      </c>
      <c r="J175" s="6" t="s">
        <v>40</v>
      </c>
      <c r="K175" s="6" t="s">
        <v>40</v>
      </c>
      <c r="L175" s="6" t="s">
        <v>40</v>
      </c>
      <c r="M175" s="6">
        <v>35</v>
      </c>
      <c r="N175" s="6">
        <v>74</v>
      </c>
    </row>
    <row r="176" spans="1:28" s="6" customFormat="1">
      <c r="A176" s="6" t="s">
        <v>191</v>
      </c>
      <c r="B176" s="6">
        <v>8</v>
      </c>
      <c r="C176" s="6">
        <v>156</v>
      </c>
      <c r="D176" s="7"/>
      <c r="E176" s="6" t="s">
        <v>40</v>
      </c>
      <c r="F176" s="6" t="s">
        <v>40</v>
      </c>
      <c r="G176" s="6" t="s">
        <v>40</v>
      </c>
      <c r="H176" s="6" t="s">
        <v>40</v>
      </c>
      <c r="I176" s="6" t="s">
        <v>40</v>
      </c>
      <c r="J176" s="6" t="s">
        <v>40</v>
      </c>
      <c r="K176" s="6" t="s">
        <v>40</v>
      </c>
      <c r="L176" s="6" t="s">
        <v>40</v>
      </c>
      <c r="M176" s="6">
        <v>33</v>
      </c>
      <c r="N176" s="6">
        <v>129</v>
      </c>
    </row>
    <row r="177" spans="1:14" s="6" customFormat="1">
      <c r="A177" s="6" t="s">
        <v>192</v>
      </c>
      <c r="B177" s="6">
        <v>-16</v>
      </c>
      <c r="C177" s="6">
        <v>166.6</v>
      </c>
      <c r="D177" s="7"/>
      <c r="E177" s="6" t="s">
        <v>40</v>
      </c>
      <c r="F177" s="6" t="s">
        <v>40</v>
      </c>
      <c r="G177" s="6" t="s">
        <v>40</v>
      </c>
      <c r="H177" s="6" t="s">
        <v>40</v>
      </c>
      <c r="I177" s="6" t="s">
        <v>40</v>
      </c>
      <c r="J177" s="6" t="s">
        <v>40</v>
      </c>
      <c r="K177" s="6" t="s">
        <v>40</v>
      </c>
      <c r="L177" s="6" t="s">
        <v>40</v>
      </c>
      <c r="M177" s="6">
        <v>64</v>
      </c>
      <c r="N177" s="6">
        <v>88</v>
      </c>
    </row>
    <row r="178" spans="1:14" s="6" customFormat="1">
      <c r="A178" s="6" t="s">
        <v>175</v>
      </c>
      <c r="B178" s="6">
        <v>-22</v>
      </c>
      <c r="C178" s="6">
        <v>169.5</v>
      </c>
      <c r="D178" s="7"/>
      <c r="E178" s="6" t="s">
        <v>40</v>
      </c>
      <c r="F178" s="6" t="s">
        <v>40</v>
      </c>
      <c r="G178" s="6" t="s">
        <v>40</v>
      </c>
      <c r="H178" s="6" t="s">
        <v>40</v>
      </c>
      <c r="I178" s="6" t="s">
        <v>40</v>
      </c>
      <c r="J178" s="6" t="s">
        <v>40</v>
      </c>
      <c r="K178" s="6" t="s">
        <v>40</v>
      </c>
      <c r="L178" s="6" t="s">
        <v>40</v>
      </c>
      <c r="M178" s="6">
        <v>44.6</v>
      </c>
      <c r="N178" s="6">
        <v>141</v>
      </c>
    </row>
    <row r="179" spans="1:14" s="6" customFormat="1">
      <c r="A179" s="6" t="s">
        <v>193</v>
      </c>
      <c r="B179" s="6">
        <v>0</v>
      </c>
      <c r="C179" s="6">
        <v>279</v>
      </c>
      <c r="D179" s="7"/>
      <c r="E179" s="6" t="s">
        <v>40</v>
      </c>
      <c r="F179" s="6" t="s">
        <v>40</v>
      </c>
      <c r="G179" s="6" t="s">
        <v>40</v>
      </c>
      <c r="H179" s="6" t="s">
        <v>40</v>
      </c>
      <c r="I179" s="6" t="s">
        <v>40</v>
      </c>
      <c r="J179" s="6" t="s">
        <v>40</v>
      </c>
      <c r="K179" s="6" t="s">
        <v>40</v>
      </c>
      <c r="L179" s="6" t="s">
        <v>40</v>
      </c>
      <c r="M179" s="6">
        <v>107</v>
      </c>
      <c r="N179" s="6">
        <v>349</v>
      </c>
    </row>
    <row r="180" spans="1:14" s="6" customFormat="1">
      <c r="A180" s="6" t="s">
        <v>194</v>
      </c>
      <c r="B180" s="6">
        <v>-2</v>
      </c>
      <c r="C180" s="6">
        <v>278.5</v>
      </c>
      <c r="D180" s="7"/>
      <c r="E180" s="6" t="s">
        <v>40</v>
      </c>
      <c r="F180" s="6" t="s">
        <v>40</v>
      </c>
      <c r="G180" s="6" t="s">
        <v>40</v>
      </c>
      <c r="H180" s="6" t="s">
        <v>40</v>
      </c>
      <c r="I180" s="6" t="s">
        <v>40</v>
      </c>
      <c r="J180" s="6" t="s">
        <v>40</v>
      </c>
      <c r="K180" s="6" t="s">
        <v>40</v>
      </c>
      <c r="L180" s="6" t="s">
        <v>40</v>
      </c>
      <c r="M180" s="6">
        <v>102</v>
      </c>
      <c r="N180" s="6">
        <v>563</v>
      </c>
    </row>
    <row r="181" spans="1:14" s="6" customFormat="1">
      <c r="A181" s="6" t="s">
        <v>145</v>
      </c>
      <c r="B181" s="6">
        <v>-30.5</v>
      </c>
      <c r="C181" s="6">
        <v>287.5</v>
      </c>
      <c r="D181" s="7"/>
      <c r="E181" s="6" t="s">
        <v>40</v>
      </c>
      <c r="F181" s="6" t="s">
        <v>40</v>
      </c>
      <c r="G181" s="6" t="s">
        <v>40</v>
      </c>
      <c r="H181" s="6" t="s">
        <v>40</v>
      </c>
      <c r="I181" s="6" t="s">
        <v>40</v>
      </c>
      <c r="J181" s="6" t="s">
        <v>40</v>
      </c>
      <c r="K181" s="6" t="s">
        <v>40</v>
      </c>
      <c r="L181" s="6" t="s">
        <v>40</v>
      </c>
      <c r="M181" s="6">
        <v>94.3</v>
      </c>
      <c r="N181" s="6">
        <v>331</v>
      </c>
    </row>
    <row r="182" spans="1:14" s="6" customFormat="1">
      <c r="A182" s="6" t="s">
        <v>195</v>
      </c>
      <c r="B182" s="6">
        <v>-15</v>
      </c>
      <c r="C182" s="6">
        <v>283.39999999999998</v>
      </c>
      <c r="D182" s="7"/>
      <c r="E182" s="6" t="s">
        <v>40</v>
      </c>
      <c r="F182" s="6" t="s">
        <v>40</v>
      </c>
      <c r="G182" s="6" t="s">
        <v>40</v>
      </c>
      <c r="H182" s="6" t="s">
        <v>40</v>
      </c>
      <c r="I182" s="6" t="s">
        <v>40</v>
      </c>
      <c r="J182" s="6" t="s">
        <v>40</v>
      </c>
      <c r="K182" s="6" t="s">
        <v>40</v>
      </c>
      <c r="L182" s="6" t="s">
        <v>40</v>
      </c>
      <c r="M182" s="6">
        <v>50</v>
      </c>
      <c r="N182" s="6">
        <v>404</v>
      </c>
    </row>
    <row r="183" spans="1:14" s="6" customFormat="1">
      <c r="A183" s="6" t="s">
        <v>196</v>
      </c>
      <c r="B183" s="6">
        <v>-42.3</v>
      </c>
      <c r="C183" s="6">
        <v>175</v>
      </c>
      <c r="D183" s="7"/>
      <c r="E183" s="6" t="s">
        <v>40</v>
      </c>
      <c r="F183" s="6" t="s">
        <v>40</v>
      </c>
      <c r="G183" s="6" t="s">
        <v>40</v>
      </c>
      <c r="H183" s="6" t="s">
        <v>40</v>
      </c>
      <c r="I183" s="6" t="s">
        <v>40</v>
      </c>
      <c r="J183" s="6" t="s">
        <v>40</v>
      </c>
      <c r="K183" s="6" t="s">
        <v>40</v>
      </c>
      <c r="L183" s="6" t="s">
        <v>40</v>
      </c>
      <c r="M183" s="6">
        <v>320</v>
      </c>
      <c r="N183" s="6">
        <v>305</v>
      </c>
    </row>
    <row r="184" spans="1:14" s="6" customFormat="1">
      <c r="A184" s="6" t="s">
        <v>197</v>
      </c>
      <c r="B184" s="6">
        <v>-41.4</v>
      </c>
      <c r="C184" s="6">
        <v>177</v>
      </c>
      <c r="D184" s="7"/>
      <c r="E184" s="6" t="s">
        <v>40</v>
      </c>
      <c r="F184" s="6" t="s">
        <v>40</v>
      </c>
      <c r="G184" s="6" t="s">
        <v>40</v>
      </c>
      <c r="H184" s="6" t="s">
        <v>40</v>
      </c>
      <c r="I184" s="6" t="s">
        <v>40</v>
      </c>
      <c r="J184" s="6" t="s">
        <v>40</v>
      </c>
      <c r="K184" s="6" t="s">
        <v>40</v>
      </c>
      <c r="L184" s="6" t="s">
        <v>40</v>
      </c>
      <c r="M184" s="6">
        <v>332</v>
      </c>
      <c r="N184" s="6">
        <v>432</v>
      </c>
    </row>
    <row r="185" spans="1:14">
      <c r="A185" s="6" t="s">
        <v>198</v>
      </c>
      <c r="B185" s="6">
        <v>-40</v>
      </c>
      <c r="C185" s="6">
        <v>178.7</v>
      </c>
      <c r="E185" s="6" t="s">
        <v>40</v>
      </c>
      <c r="F185" s="6" t="s">
        <v>40</v>
      </c>
      <c r="G185" s="6" t="s">
        <v>40</v>
      </c>
      <c r="H185" s="6" t="s">
        <v>40</v>
      </c>
      <c r="I185" s="6" t="s">
        <v>40</v>
      </c>
      <c r="J185" s="6" t="s">
        <v>40</v>
      </c>
      <c r="K185" s="6" t="s">
        <v>40</v>
      </c>
      <c r="L185" s="6" t="s">
        <v>40</v>
      </c>
      <c r="M185" s="6">
        <v>287</v>
      </c>
      <c r="N185" s="6">
        <v>296</v>
      </c>
    </row>
    <row r="186" spans="1:14">
      <c r="A186" s="6" t="s">
        <v>199</v>
      </c>
      <c r="B186" s="6">
        <v>-36.5</v>
      </c>
      <c r="C186" s="6">
        <v>180.6</v>
      </c>
      <c r="E186" s="6" t="s">
        <v>40</v>
      </c>
      <c r="F186" s="6" t="s">
        <v>40</v>
      </c>
      <c r="G186" s="6" t="s">
        <v>40</v>
      </c>
      <c r="H186" s="6" t="s">
        <v>40</v>
      </c>
      <c r="I186" s="6" t="s">
        <v>40</v>
      </c>
      <c r="J186" s="6" t="s">
        <v>40</v>
      </c>
      <c r="K186" s="6" t="s">
        <v>40</v>
      </c>
      <c r="L186" s="6" t="s">
        <v>40</v>
      </c>
      <c r="M186" s="6">
        <v>292</v>
      </c>
      <c r="N186" s="6">
        <v>228</v>
      </c>
    </row>
    <row r="187" spans="1:14">
      <c r="A187" s="6" t="s">
        <v>171</v>
      </c>
      <c r="B187" s="6">
        <v>-25</v>
      </c>
      <c r="C187" s="6">
        <v>184.8</v>
      </c>
      <c r="E187" s="6" t="s">
        <v>40</v>
      </c>
      <c r="F187" s="6" t="s">
        <v>40</v>
      </c>
      <c r="G187" s="6" t="s">
        <v>40</v>
      </c>
      <c r="H187" s="6" t="s">
        <v>40</v>
      </c>
      <c r="I187" s="6" t="s">
        <v>40</v>
      </c>
      <c r="J187" s="6" t="s">
        <v>40</v>
      </c>
      <c r="K187" s="6" t="s">
        <v>40</v>
      </c>
      <c r="L187" s="6" t="s">
        <v>40</v>
      </c>
      <c r="M187" s="6">
        <v>275.89999999999998</v>
      </c>
      <c r="N187" s="6">
        <v>249</v>
      </c>
    </row>
    <row r="188" spans="1:14">
      <c r="A188" s="6" t="s">
        <v>200</v>
      </c>
      <c r="B188" s="6">
        <v>-15.5</v>
      </c>
      <c r="C188" s="6">
        <v>187.7</v>
      </c>
      <c r="E188" s="6" t="s">
        <v>40</v>
      </c>
      <c r="F188" s="6" t="s">
        <v>40</v>
      </c>
      <c r="G188" s="6" t="s">
        <v>40</v>
      </c>
      <c r="H188" s="6" t="s">
        <v>40</v>
      </c>
      <c r="I188" s="6" t="s">
        <v>40</v>
      </c>
      <c r="J188" s="6" t="s">
        <v>40</v>
      </c>
      <c r="K188" s="6" t="s">
        <v>40</v>
      </c>
      <c r="L188" s="6" t="s">
        <v>40</v>
      </c>
      <c r="M188" s="6">
        <v>241.4</v>
      </c>
      <c r="N188" s="6">
        <v>100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ggge670-sup-0001tab01.txt</vt:lpstr>
    </vt:vector>
  </TitlesOfParts>
  <Company>University of Southern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Holt</dc:creator>
  <cp:lastModifiedBy>Adam Holt</cp:lastModifiedBy>
  <dcterms:created xsi:type="dcterms:W3CDTF">2018-01-14T02:55:55Z</dcterms:created>
  <dcterms:modified xsi:type="dcterms:W3CDTF">2018-11-06T20:04:59Z</dcterms:modified>
</cp:coreProperties>
</file>